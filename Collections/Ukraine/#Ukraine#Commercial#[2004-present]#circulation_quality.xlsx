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Ukraine\"/>
    </mc:Choice>
  </mc:AlternateContent>
  <xr:revisionPtr revIDLastSave="0" documentId="13_ncr:1_{BF418987-99CF-4E15-B62D-E0AFF104B1D1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 1гривня" sheetId="10" r:id="rId1"/>
    <sheet name="10гривень" sheetId="13" r:id="rId2"/>
    <sheet name="Links" sheetId="3" r:id="rId3"/>
  </sheets>
  <definedNames>
    <definedName name="_xlnm._FilterDatabase" localSheetId="0" hidden="1">' 1гривня'!$B$2:$E$2</definedName>
    <definedName name="_xlnm._FilterDatabase" localSheetId="1" hidden="1">'10гривень'!$B$2:$E$2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13" l="1"/>
  <c r="G38" i="13"/>
  <c r="G37" i="13"/>
  <c r="G36" i="13"/>
  <c r="G35" i="13" l="1"/>
  <c r="G34" i="13"/>
  <c r="G27" i="10"/>
  <c r="G23" i="13"/>
  <c r="G25" i="13"/>
  <c r="G26" i="13"/>
  <c r="G27" i="13"/>
  <c r="G28" i="13"/>
  <c r="G29" i="13"/>
  <c r="G30" i="13"/>
  <c r="G31" i="13"/>
  <c r="G32" i="13"/>
  <c r="G24" i="13"/>
  <c r="G18" i="10"/>
  <c r="G19" i="10"/>
  <c r="G20" i="10"/>
  <c r="G21" i="10"/>
  <c r="G22" i="10"/>
  <c r="G23" i="10"/>
  <c r="G24" i="10"/>
  <c r="G25" i="10"/>
  <c r="G26" i="10"/>
  <c r="G14" i="10"/>
  <c r="G13" i="10"/>
  <c r="G12" i="10"/>
  <c r="G10" i="10"/>
  <c r="G4" i="10" l="1"/>
  <c r="G5" i="10"/>
  <c r="G6" i="10"/>
  <c r="G7" i="10"/>
  <c r="G8" i="10"/>
  <c r="G9" i="10"/>
  <c r="G11" i="10"/>
  <c r="G15" i="10"/>
  <c r="G16" i="10"/>
  <c r="G17" i="10"/>
  <c r="G3" i="10"/>
  <c r="G52" i="13" l="1"/>
  <c r="G51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880FE2EE-9E7B-4BB2-853C-A6B8AFFF721D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F2" authorId="0" shapeId="0" xr:uid="{B48D7D25-A76A-470E-80BC-FC7D6A0FE092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2DE7699-710F-44D9-809E-F8A424424ADC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  <comment ref="F2" authorId="0" shapeId="0" xr:uid="{5E3ADC02-40CE-49F8-BBEF-D25985858B32}">
      <text>
        <r>
          <rPr>
            <b/>
            <sz val="9"/>
            <color indexed="81"/>
            <rFont val="Tahoma"/>
            <family val="2"/>
            <charset val="204"/>
          </rPr>
          <t xml:space="preserve">Банкнотно-монетний двір Національного банку України
(Kiev mint)
</t>
        </r>
      </text>
    </comment>
  </commentList>
</comments>
</file>

<file path=xl/sharedStrings.xml><?xml version="1.0" encoding="utf-8"?>
<sst xmlns="http://schemas.openxmlformats.org/spreadsheetml/2006/main" count="294" uniqueCount="52">
  <si>
    <t>-</t>
  </si>
  <si>
    <t>Year</t>
  </si>
  <si>
    <t>Type</t>
  </si>
  <si>
    <t>Mintage</t>
  </si>
  <si>
    <t>NBU</t>
  </si>
  <si>
    <t>Aluminium-Bronze</t>
  </si>
  <si>
    <t xml:space="preserve"> 1гривня</t>
  </si>
  <si>
    <t>№</t>
  </si>
  <si>
    <t>Link</t>
  </si>
  <si>
    <t>Description (single table, table set, mintage, prices):</t>
  </si>
  <si>
    <t>russian-money</t>
  </si>
  <si>
    <t>None table description of varieties</t>
  </si>
  <si>
    <t>Middle convenience set of tables with description of coins</t>
  </si>
  <si>
    <t>en.ucoin.net</t>
  </si>
  <si>
    <t>yadi.sk</t>
  </si>
  <si>
    <t xml:space="preserve">Kruse catalog 1901-2000. Middle convenience single table with all coins, varieties. </t>
  </si>
  <si>
    <t xml:space="preserve">Kruse catalog 2000-2015. Middle convenience single table with all coins, varieties. </t>
  </si>
  <si>
    <t>Subject</t>
  </si>
  <si>
    <t>en.numista.com</t>
  </si>
  <si>
    <t>Nickel plated Zinc</t>
  </si>
  <si>
    <t>10гривень</t>
  </si>
  <si>
    <t>60 Years of Liberation of Ukraine from Fascist Invaders</t>
  </si>
  <si>
    <t>60th Anniversary of WWII Victory</t>
  </si>
  <si>
    <t>65th Anniversary of WWII Victory</t>
  </si>
  <si>
    <t>UEFA European Football Championship 2012</t>
  </si>
  <si>
    <t>70th Anniversary of the End of World War II in Europe</t>
  </si>
  <si>
    <t>20 Years of Monetary Reform in Ukraine</t>
  </si>
  <si>
    <t>Territorial Defense Forces of Armed Forces of Ukraine</t>
  </si>
  <si>
    <t>Support Forces of Armed Forces of Ukraine</t>
  </si>
  <si>
    <t>Command of the United Forces of the Armed Forces of Ukraine</t>
  </si>
  <si>
    <t>Antonivka Road Bridge</t>
  </si>
  <si>
    <t>Air Defenses – Ukraine’s Reliable Shield</t>
  </si>
  <si>
    <t>State Special Transport Service</t>
  </si>
  <si>
    <t>Service of the Armed Forces of Ukraine</t>
  </si>
  <si>
    <t>Medical Branch of Ukraine's Armed Forces</t>
  </si>
  <si>
    <t>Communications and Cybersecurity Troops of the Armed Forces of Ukraine</t>
  </si>
  <si>
    <t>Subtype_1#Composition</t>
  </si>
  <si>
    <t>Subtype_2#Special_distinctions_1</t>
  </si>
  <si>
    <t>National Police of Ukraine</t>
  </si>
  <si>
    <t>National Guard of Ukraine</t>
  </si>
  <si>
    <t>Subtype_2#Composition</t>
  </si>
  <si>
    <t>Subtype_1#Series</t>
  </si>
  <si>
    <t>We are strong. We are together</t>
  </si>
  <si>
    <t>Luhansk Oblast</t>
  </si>
  <si>
    <t>Donetsk Oblast</t>
  </si>
  <si>
    <t>Autonomous Republic of Crimea</t>
  </si>
  <si>
    <t>Unmanned Systems Forces of the Armed Forces of Ukraine</t>
  </si>
  <si>
    <t>2.000.000</t>
  </si>
  <si>
    <t>10.000.000</t>
  </si>
  <si>
    <t>5.000.000</t>
  </si>
  <si>
    <t>7.000.000</t>
  </si>
  <si>
    <t>60.000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</si>
</sst>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theme="1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rgb="FFCFB8E2"/>
        <bgColor rgb="FFCCC0D9"/>
      </patternFill>
    </fill>
    <fill>
      <patternFill patternType="solid">
        <fgColor rgb="FFB38FD1"/>
        <bgColor rgb="FFCCC0D9"/>
      </patternFill>
    </fill>
    <fill>
      <patternFill patternType="solid">
        <fgColor rgb="FFE2DBE9"/>
        <bgColor rgb="FFCCC0D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4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shrinkToFit="1"/>
    </xf>
    <xf numFmtId="0" fontId="2" fillId="2" borderId="1" xfId="0" applyFont="1" applyFill="1" applyBorder="1" applyAlignment="1">
      <alignment horizontal="center" shrinkToFit="1"/>
    </xf>
    <xf numFmtId="0" fontId="4" fillId="0" borderId="0" xfId="0" applyFont="1"/>
    <xf numFmtId="0" fontId="0" fillId="0" borderId="0" xfId="0" applyBorder="1" applyAlignment="1">
      <alignment horizontal="center" shrinkToFi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4" fillId="0" borderId="0" xfId="0" applyFont="1" applyAlignment="1">
      <alignment wrapText="1" shrinkToFit="1"/>
    </xf>
    <xf numFmtId="0" fontId="1" fillId="8" borderId="9" xfId="0" applyFont="1" applyFill="1" applyBorder="1" applyAlignment="1">
      <alignment wrapText="1" shrinkToFi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 shrinkToFit="1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shrinkToFit="1"/>
    </xf>
    <xf numFmtId="0" fontId="8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 shrinkToFi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6" xfId="0" applyFont="1" applyBorder="1" applyAlignment="1"/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29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1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6" totalsRowShown="0">
  <autoFilter ref="A1:C6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6"/>
    <tableColumn id="2" xr3:uid="{00000000-0010-0000-0000-000002000000}" name="Link" dataDxfId="5" dataCellStyle="Гиперссылка"/>
    <tableColumn id="3" xr3:uid="{00000000-0010-0000-0000-000003000000}" name="Description (single table, table set, mintage, prices):" dataDxfId="4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yadi.sk/d/GxrRtxKxgR1Dmw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en.ucoin.net/catalog/?country=ukraine" TargetMode="External"/><Relationship Id="rId1" Type="http://schemas.openxmlformats.org/officeDocument/2006/relationships/hyperlink" Target="https://www.russian-money.ru/blizhnee-zarubezhje/ukraina/2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en.numista.com/catalogue/index.php?p=1&amp;ru=3209&amp;ct=coin" TargetMode="External"/><Relationship Id="rId4" Type="http://schemas.openxmlformats.org/officeDocument/2006/relationships/hyperlink" Target="https://yadi.sk/i/XmyMlg2hlGwr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workbookViewId="0">
      <pane xSplit="7" ySplit="2" topLeftCell="H3" activePane="bottomRight" state="frozen"/>
      <selection pane="topRight" activeCell="L1" sqref="L1"/>
      <selection pane="bottomLeft" activeCell="A3" sqref="A3"/>
      <selection pane="bottomRight" activeCell="I11" sqref="I11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35" t="s">
        <v>1</v>
      </c>
      <c r="B1" s="27"/>
      <c r="C1" s="37" t="s">
        <v>2</v>
      </c>
      <c r="D1" s="38"/>
      <c r="E1" s="25" t="s">
        <v>3</v>
      </c>
      <c r="F1" s="29" t="s">
        <v>6</v>
      </c>
    </row>
    <row r="2" spans="1:7" ht="15" customHeight="1" x14ac:dyDescent="0.35">
      <c r="A2" s="36"/>
      <c r="B2" s="28" t="s">
        <v>17</v>
      </c>
      <c r="C2" s="2" t="s">
        <v>36</v>
      </c>
      <c r="D2" s="2" t="s">
        <v>37</v>
      </c>
      <c r="E2" s="3" t="s">
        <v>4</v>
      </c>
      <c r="F2" s="3" t="s">
        <v>4</v>
      </c>
    </row>
    <row r="3" spans="1:7" ht="15" customHeight="1" x14ac:dyDescent="0.35">
      <c r="A3" s="5">
        <v>2004</v>
      </c>
      <c r="B3" s="6" t="s">
        <v>21</v>
      </c>
      <c r="C3" s="3" t="s">
        <v>5</v>
      </c>
      <c r="D3" s="3"/>
      <c r="E3" s="4" t="s">
        <v>49</v>
      </c>
      <c r="F3" s="8">
        <v>0</v>
      </c>
      <c r="G3" s="30" t="str">
        <f t="shared" ref="G3:G17" si="0">IF(OR(AND(F3&gt;1,F3&lt;&gt;"-")),"Can exchange","")</f>
        <v/>
      </c>
    </row>
    <row r="4" spans="1:7" ht="15" customHeight="1" x14ac:dyDescent="0.35">
      <c r="A4" s="5">
        <v>2005</v>
      </c>
      <c r="B4" s="6" t="s">
        <v>22</v>
      </c>
      <c r="C4" s="3" t="s">
        <v>5</v>
      </c>
      <c r="D4" s="3"/>
      <c r="E4" s="4" t="s">
        <v>49</v>
      </c>
      <c r="F4" s="8">
        <v>0</v>
      </c>
      <c r="G4" s="30" t="str">
        <f t="shared" si="0"/>
        <v/>
      </c>
    </row>
    <row r="5" spans="1:7" ht="15" customHeight="1" x14ac:dyDescent="0.35">
      <c r="A5" s="5">
        <v>2006</v>
      </c>
      <c r="B5" s="7" t="s">
        <v>0</v>
      </c>
      <c r="C5" s="7" t="s">
        <v>0</v>
      </c>
      <c r="D5" s="7" t="s">
        <v>0</v>
      </c>
      <c r="E5" s="7" t="s">
        <v>0</v>
      </c>
      <c r="F5" s="8" t="s">
        <v>0</v>
      </c>
      <c r="G5" s="30" t="str">
        <f t="shared" si="0"/>
        <v/>
      </c>
    </row>
    <row r="6" spans="1:7" ht="15" customHeight="1" x14ac:dyDescent="0.35">
      <c r="A6" s="5">
        <v>2007</v>
      </c>
      <c r="B6" s="7" t="s">
        <v>0</v>
      </c>
      <c r="C6" s="7" t="s">
        <v>0</v>
      </c>
      <c r="D6" s="7" t="s">
        <v>0</v>
      </c>
      <c r="E6" s="7" t="s">
        <v>0</v>
      </c>
      <c r="F6" s="8" t="s">
        <v>0</v>
      </c>
      <c r="G6" s="30" t="str">
        <f t="shared" si="0"/>
        <v/>
      </c>
    </row>
    <row r="7" spans="1:7" ht="15" customHeight="1" x14ac:dyDescent="0.35">
      <c r="A7" s="5">
        <v>2008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0</v>
      </c>
      <c r="G7" s="30" t="str">
        <f t="shared" si="0"/>
        <v/>
      </c>
    </row>
    <row r="8" spans="1:7" ht="15" customHeight="1" x14ac:dyDescent="0.35">
      <c r="A8" s="5">
        <v>2009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0</v>
      </c>
      <c r="G8" s="30" t="str">
        <f t="shared" si="0"/>
        <v/>
      </c>
    </row>
    <row r="9" spans="1:7" ht="15" customHeight="1" x14ac:dyDescent="0.35">
      <c r="A9" s="5">
        <v>2010</v>
      </c>
      <c r="B9" s="6" t="s">
        <v>23</v>
      </c>
      <c r="C9" s="3" t="s">
        <v>5</v>
      </c>
      <c r="D9" s="3"/>
      <c r="E9" s="4" t="s">
        <v>49</v>
      </c>
      <c r="F9" s="34">
        <v>1</v>
      </c>
      <c r="G9" s="30" t="str">
        <f t="shared" si="0"/>
        <v/>
      </c>
    </row>
    <row r="10" spans="1:7" ht="15" customHeight="1" x14ac:dyDescent="0.35">
      <c r="A10" s="5">
        <v>2011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0</v>
      </c>
      <c r="G10" s="30" t="str">
        <f t="shared" ref="G10" si="1">IF(OR(AND(F10&gt;1,F10&lt;&gt;"-")),"Can exchange","")</f>
        <v/>
      </c>
    </row>
    <row r="11" spans="1:7" ht="15" customHeight="1" x14ac:dyDescent="0.35">
      <c r="A11" s="5">
        <v>2012</v>
      </c>
      <c r="B11" s="6" t="s">
        <v>24</v>
      </c>
      <c r="C11" s="3" t="s">
        <v>5</v>
      </c>
      <c r="D11" s="3"/>
      <c r="E11" s="4" t="s">
        <v>49</v>
      </c>
      <c r="F11" s="8">
        <v>1</v>
      </c>
      <c r="G11" s="30" t="str">
        <f t="shared" si="0"/>
        <v/>
      </c>
    </row>
    <row r="12" spans="1:7" ht="15" customHeight="1" x14ac:dyDescent="0.35">
      <c r="A12" s="5">
        <v>2013</v>
      </c>
      <c r="B12" s="7" t="s">
        <v>0</v>
      </c>
      <c r="C12" s="7" t="s">
        <v>0</v>
      </c>
      <c r="D12" s="7" t="s">
        <v>0</v>
      </c>
      <c r="E12" s="7" t="s">
        <v>0</v>
      </c>
      <c r="F12" s="8" t="s">
        <v>0</v>
      </c>
      <c r="G12" s="30" t="str">
        <f t="shared" si="0"/>
        <v/>
      </c>
    </row>
    <row r="13" spans="1:7" ht="15" customHeight="1" x14ac:dyDescent="0.35">
      <c r="A13" s="20">
        <v>2013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0</v>
      </c>
      <c r="G13" s="30" t="str">
        <f t="shared" si="0"/>
        <v/>
      </c>
    </row>
    <row r="14" spans="1:7" ht="15" customHeight="1" x14ac:dyDescent="0.35">
      <c r="A14" s="5">
        <v>2014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0</v>
      </c>
      <c r="G14" s="30" t="str">
        <f t="shared" si="0"/>
        <v/>
      </c>
    </row>
    <row r="15" spans="1:7" ht="15" customHeight="1" thickBot="1" x14ac:dyDescent="0.4">
      <c r="A15" s="5">
        <v>2015</v>
      </c>
      <c r="B15" s="31" t="s">
        <v>25</v>
      </c>
      <c r="C15" s="3"/>
      <c r="D15" s="3"/>
      <c r="E15" s="4" t="s">
        <v>50</v>
      </c>
      <c r="F15" s="40">
        <v>1</v>
      </c>
      <c r="G15" s="30" t="str">
        <f t="shared" si="0"/>
        <v/>
      </c>
    </row>
    <row r="16" spans="1:7" ht="15" customHeight="1" x14ac:dyDescent="0.35">
      <c r="A16" s="5">
        <v>2016</v>
      </c>
      <c r="B16" s="6" t="s">
        <v>26</v>
      </c>
      <c r="C16" s="3"/>
      <c r="D16" s="3"/>
      <c r="E16" s="22" t="s">
        <v>51</v>
      </c>
      <c r="F16" s="39">
        <v>0</v>
      </c>
      <c r="G16" s="30" t="str">
        <f t="shared" si="0"/>
        <v/>
      </c>
    </row>
    <row r="17" spans="1:7" ht="15" customHeight="1" x14ac:dyDescent="0.35">
      <c r="A17" s="5">
        <v>2017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0</v>
      </c>
      <c r="G17" s="30" t="str">
        <f t="shared" si="0"/>
        <v/>
      </c>
    </row>
    <row r="18" spans="1:7" ht="15" customHeight="1" x14ac:dyDescent="0.35">
      <c r="A18" s="5">
        <v>2018</v>
      </c>
      <c r="B18" s="7" t="s">
        <v>0</v>
      </c>
      <c r="C18" s="7" t="s">
        <v>0</v>
      </c>
      <c r="D18" s="7" t="s">
        <v>0</v>
      </c>
      <c r="E18" s="7" t="s">
        <v>0</v>
      </c>
      <c r="F18" s="8" t="s">
        <v>0</v>
      </c>
      <c r="G18" s="30" t="str">
        <f t="shared" ref="G18:G26" si="2">IF(OR(AND(F18&gt;1,F18&lt;&gt;"-")),"Can exchange","")</f>
        <v/>
      </c>
    </row>
    <row r="19" spans="1:7" ht="15" customHeight="1" x14ac:dyDescent="0.35">
      <c r="A19" s="20">
        <v>2018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0</v>
      </c>
      <c r="G19" s="30" t="str">
        <f t="shared" si="2"/>
        <v/>
      </c>
    </row>
    <row r="20" spans="1:7" ht="15" customHeight="1" x14ac:dyDescent="0.35">
      <c r="A20" s="20">
        <v>2018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0</v>
      </c>
      <c r="G20" s="30" t="str">
        <f t="shared" si="2"/>
        <v/>
      </c>
    </row>
    <row r="21" spans="1:7" ht="15" customHeight="1" x14ac:dyDescent="0.35">
      <c r="A21" s="5">
        <v>2019</v>
      </c>
      <c r="B21" s="7" t="s">
        <v>0</v>
      </c>
      <c r="C21" s="7" t="s">
        <v>0</v>
      </c>
      <c r="D21" s="7" t="s">
        <v>0</v>
      </c>
      <c r="E21" s="7" t="s">
        <v>0</v>
      </c>
      <c r="F21" s="8" t="s">
        <v>0</v>
      </c>
      <c r="G21" s="30" t="str">
        <f t="shared" si="2"/>
        <v/>
      </c>
    </row>
    <row r="22" spans="1:7" ht="15" customHeight="1" x14ac:dyDescent="0.35">
      <c r="A22" s="20">
        <v>2020</v>
      </c>
      <c r="B22" s="7" t="s">
        <v>0</v>
      </c>
      <c r="C22" s="7" t="s">
        <v>0</v>
      </c>
      <c r="D22" s="7" t="s">
        <v>0</v>
      </c>
      <c r="E22" s="7" t="s">
        <v>0</v>
      </c>
      <c r="F22" s="8" t="s">
        <v>0</v>
      </c>
      <c r="G22" s="30" t="str">
        <f t="shared" si="2"/>
        <v/>
      </c>
    </row>
    <row r="23" spans="1:7" ht="15" customHeight="1" x14ac:dyDescent="0.35">
      <c r="A23" s="20">
        <v>2021</v>
      </c>
      <c r="B23" s="7" t="s">
        <v>0</v>
      </c>
      <c r="C23" s="7" t="s">
        <v>0</v>
      </c>
      <c r="D23" s="7" t="s">
        <v>0</v>
      </c>
      <c r="E23" s="7" t="s">
        <v>0</v>
      </c>
      <c r="F23" s="8" t="s">
        <v>0</v>
      </c>
      <c r="G23" s="30" t="str">
        <f t="shared" si="2"/>
        <v/>
      </c>
    </row>
    <row r="24" spans="1:7" ht="15" customHeight="1" x14ac:dyDescent="0.35">
      <c r="A24" s="20">
        <v>2022</v>
      </c>
      <c r="B24" s="7" t="s">
        <v>0</v>
      </c>
      <c r="C24" s="7" t="s">
        <v>0</v>
      </c>
      <c r="D24" s="7" t="s">
        <v>0</v>
      </c>
      <c r="E24" s="7" t="s">
        <v>0</v>
      </c>
      <c r="F24" s="8" t="s">
        <v>0</v>
      </c>
      <c r="G24" s="30" t="str">
        <f t="shared" si="2"/>
        <v/>
      </c>
    </row>
    <row r="25" spans="1:7" ht="15" customHeight="1" x14ac:dyDescent="0.35">
      <c r="A25" s="20">
        <v>2023</v>
      </c>
      <c r="B25" s="7" t="s">
        <v>0</v>
      </c>
      <c r="C25" s="7" t="s">
        <v>0</v>
      </c>
      <c r="D25" s="7" t="s">
        <v>0</v>
      </c>
      <c r="E25" s="7" t="s">
        <v>0</v>
      </c>
      <c r="F25" s="8" t="s">
        <v>0</v>
      </c>
      <c r="G25" s="30" t="str">
        <f t="shared" si="2"/>
        <v/>
      </c>
    </row>
    <row r="26" spans="1:7" ht="15" customHeight="1" x14ac:dyDescent="0.35">
      <c r="A26" s="20">
        <v>2024</v>
      </c>
      <c r="B26" s="7" t="s">
        <v>0</v>
      </c>
      <c r="C26" s="7" t="s">
        <v>0</v>
      </c>
      <c r="D26" s="7" t="s">
        <v>0</v>
      </c>
      <c r="E26" s="7" t="s">
        <v>0</v>
      </c>
      <c r="F26" s="8" t="s">
        <v>0</v>
      </c>
      <c r="G26" s="30" t="str">
        <f t="shared" si="2"/>
        <v/>
      </c>
    </row>
    <row r="27" spans="1:7" ht="15" customHeight="1" x14ac:dyDescent="0.35">
      <c r="A27" s="32">
        <v>2025</v>
      </c>
      <c r="B27" s="7" t="s">
        <v>0</v>
      </c>
      <c r="C27" s="7" t="s">
        <v>0</v>
      </c>
      <c r="D27" s="7" t="s">
        <v>0</v>
      </c>
      <c r="E27" s="7" t="s">
        <v>0</v>
      </c>
      <c r="F27" s="8" t="s">
        <v>0</v>
      </c>
      <c r="G27" s="30" t="str">
        <f t="shared" ref="G27" si="3">IF(OR(AND(F27&gt;1,F27&lt;&gt;"-")),"Can exchange","")</f>
        <v/>
      </c>
    </row>
  </sheetData>
  <autoFilter ref="B2:E2" xr:uid="{00000000-0001-0000-0600-000000000000}"/>
  <mergeCells count="2">
    <mergeCell ref="A1:A2"/>
    <mergeCell ref="C1:D1"/>
  </mergeCells>
  <conditionalFormatting sqref="F3:F4 F15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 F9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 F3:F4">
    <cfRule type="containsText" dxfId="28" priority="109" operator="containsText" text="*-">
      <formula>NOT(ISERROR(SEARCH(("*-"),(#REF!))))</formula>
    </cfRule>
  </conditionalFormatting>
  <conditionalFormatting sqref="F9 F11">
    <cfRule type="containsText" dxfId="27" priority="107" operator="containsText" text="*-">
      <formula>NOT(ISERROR(SEARCH(("*-"),(#REF!))))</formula>
    </cfRule>
  </conditionalFormatting>
  <conditionalFormatting sqref="F17:F27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26" priority="49" operator="containsText" text="*-">
      <formula>NOT(ISERROR(SEARCH(("*-"),(F8))))</formula>
    </cfRule>
  </conditionalFormatting>
  <conditionalFormatting sqref="F17:F27">
    <cfRule type="containsText" dxfId="25" priority="55" operator="containsText" text="*-">
      <formula>NOT(ISERROR(SEARCH(("*-"),(F17))))</formula>
    </cfRule>
  </conditionalFormatting>
  <conditionalFormatting sqref="F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4" priority="39" operator="containsText" text="*-">
      <formula>NOT(ISERROR(SEARCH(("*-"),(F6))))</formula>
    </cfRule>
  </conditionalFormatting>
  <conditionalFormatting sqref="F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3" priority="15" operator="containsText" text="*-">
      <formula>NOT(ISERROR(SEARCH(("*-"),(F5))))</formula>
    </cfRule>
  </conditionalFormatting>
  <conditionalFormatting sqref="F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22" priority="13" operator="containsText" text="*-">
      <formula>NOT(ISERROR(SEARCH(("*-"),(F7))))</formula>
    </cfRule>
  </conditionalFormatting>
  <conditionalFormatting sqref="F1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21" priority="11" operator="containsText" text="*-">
      <formula>NOT(ISERROR(SEARCH(("*-"),(F10))))</formula>
    </cfRule>
  </conditionalFormatting>
  <conditionalFormatting sqref="F1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20" priority="9" operator="containsText" text="*-">
      <formula>NOT(ISERROR(SEARCH(("*-"),(F12))))</formula>
    </cfRule>
  </conditionalFormatting>
  <conditionalFormatting sqref="F1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19" priority="7" operator="containsText" text="*-">
      <formula>NOT(ISERROR(SEARCH(("*-"),(F13))))</formula>
    </cfRule>
  </conditionalFormatting>
  <conditionalFormatting sqref="F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18" priority="5" operator="containsText" text="*-">
      <formula>NOT(ISERROR(SEARCH(("*-"),(F14))))</formula>
    </cfRule>
  </conditionalFormatting>
  <conditionalFormatting sqref="F1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5906-1F40-4F9F-A28B-610F2E45FBC5}">
  <dimension ref="A1:H52"/>
  <sheetViews>
    <sheetView tabSelected="1" workbookViewId="0">
      <pane xSplit="7" ySplit="2" topLeftCell="H3" activePane="bottomRight" state="frozen"/>
      <selection pane="topRight" activeCell="L1" sqref="L1"/>
      <selection pane="bottomLeft" activeCell="A3" sqref="A3"/>
      <selection pane="bottomRight" activeCell="F35" sqref="F35"/>
    </sheetView>
  </sheetViews>
  <sheetFormatPr defaultRowHeight="15" customHeight="1" x14ac:dyDescent="0.35"/>
  <cols>
    <col min="1" max="1" width="5.6328125" customWidth="1"/>
    <col min="2" max="2" width="50.6328125" style="9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8" ht="15" customHeight="1" x14ac:dyDescent="0.35">
      <c r="A1" s="35" t="s">
        <v>1</v>
      </c>
      <c r="B1" s="27"/>
      <c r="C1" s="37" t="s">
        <v>2</v>
      </c>
      <c r="D1" s="38"/>
      <c r="E1" s="21" t="s">
        <v>3</v>
      </c>
      <c r="F1" s="10" t="s">
        <v>20</v>
      </c>
      <c r="G1" s="12"/>
      <c r="H1" s="12"/>
    </row>
    <row r="2" spans="1:8" ht="15" customHeight="1" x14ac:dyDescent="0.35">
      <c r="A2" s="36"/>
      <c r="B2" s="28" t="s">
        <v>17</v>
      </c>
      <c r="C2" s="2" t="s">
        <v>41</v>
      </c>
      <c r="D2" s="2" t="s">
        <v>40</v>
      </c>
      <c r="E2" s="3" t="s">
        <v>4</v>
      </c>
      <c r="F2" s="3" t="s">
        <v>4</v>
      </c>
      <c r="G2" s="13"/>
      <c r="H2" s="14"/>
    </row>
    <row r="3" spans="1:8" ht="15" customHeight="1" x14ac:dyDescent="0.35">
      <c r="A3" s="26">
        <v>2004</v>
      </c>
      <c r="B3" s="7" t="s">
        <v>0</v>
      </c>
      <c r="C3" s="7" t="s">
        <v>0</v>
      </c>
      <c r="D3" s="7" t="s">
        <v>0</v>
      </c>
      <c r="E3" s="7" t="s">
        <v>0</v>
      </c>
      <c r="F3" s="8" t="s">
        <v>0</v>
      </c>
      <c r="G3" s="15" t="str">
        <f t="shared" ref="G3:G22" si="0">IF(OR(AND(F3&gt;1,F3&lt;&gt;"-")),"Can exchange","")</f>
        <v/>
      </c>
      <c r="H3" s="14"/>
    </row>
    <row r="4" spans="1:8" ht="15" customHeight="1" x14ac:dyDescent="0.35">
      <c r="A4" s="26">
        <v>2005</v>
      </c>
      <c r="B4" s="7" t="s">
        <v>0</v>
      </c>
      <c r="C4" s="7" t="s">
        <v>0</v>
      </c>
      <c r="D4" s="7" t="s">
        <v>0</v>
      </c>
      <c r="E4" s="7" t="s">
        <v>0</v>
      </c>
      <c r="F4" s="8" t="s">
        <v>0</v>
      </c>
      <c r="G4" s="15" t="str">
        <f t="shared" si="0"/>
        <v/>
      </c>
      <c r="H4" s="14"/>
    </row>
    <row r="5" spans="1:8" ht="15" customHeight="1" x14ac:dyDescent="0.35">
      <c r="A5" s="26">
        <v>2006</v>
      </c>
      <c r="B5" s="7" t="s">
        <v>0</v>
      </c>
      <c r="C5" s="7" t="s">
        <v>0</v>
      </c>
      <c r="D5" s="7" t="s">
        <v>0</v>
      </c>
      <c r="E5" s="7" t="s">
        <v>0</v>
      </c>
      <c r="F5" s="8" t="s">
        <v>0</v>
      </c>
      <c r="G5" s="15" t="str">
        <f t="shared" si="0"/>
        <v/>
      </c>
    </row>
    <row r="6" spans="1:8" ht="15" customHeight="1" x14ac:dyDescent="0.35">
      <c r="A6" s="26">
        <v>2007</v>
      </c>
      <c r="B6" s="7" t="s">
        <v>0</v>
      </c>
      <c r="C6" s="7" t="s">
        <v>0</v>
      </c>
      <c r="D6" s="7" t="s">
        <v>0</v>
      </c>
      <c r="E6" s="7" t="s">
        <v>0</v>
      </c>
      <c r="F6" s="8" t="s">
        <v>0</v>
      </c>
      <c r="G6" s="15" t="str">
        <f t="shared" si="0"/>
        <v/>
      </c>
    </row>
    <row r="7" spans="1:8" ht="15" customHeight="1" x14ac:dyDescent="0.35">
      <c r="A7" s="26">
        <v>2008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0</v>
      </c>
      <c r="G7" s="15" t="str">
        <f t="shared" si="0"/>
        <v/>
      </c>
    </row>
    <row r="8" spans="1:8" ht="15" customHeight="1" x14ac:dyDescent="0.35">
      <c r="A8" s="26">
        <v>2009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0</v>
      </c>
      <c r="G8" s="15" t="str">
        <f t="shared" si="0"/>
        <v/>
      </c>
    </row>
    <row r="9" spans="1:8" ht="15" customHeight="1" x14ac:dyDescent="0.35">
      <c r="A9" s="26">
        <v>2010</v>
      </c>
      <c r="B9" s="7" t="s">
        <v>0</v>
      </c>
      <c r="C9" s="7" t="s">
        <v>0</v>
      </c>
      <c r="D9" s="7" t="s">
        <v>0</v>
      </c>
      <c r="E9" s="7" t="s">
        <v>0</v>
      </c>
      <c r="F9" s="8" t="s">
        <v>0</v>
      </c>
      <c r="G9" s="15" t="str">
        <f t="shared" si="0"/>
        <v/>
      </c>
    </row>
    <row r="10" spans="1:8" ht="15" customHeight="1" x14ac:dyDescent="0.35">
      <c r="A10" s="26">
        <v>2011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0</v>
      </c>
      <c r="G10" s="15" t="str">
        <f t="shared" si="0"/>
        <v/>
      </c>
    </row>
    <row r="11" spans="1:8" ht="15" customHeight="1" x14ac:dyDescent="0.35">
      <c r="A11" s="26">
        <v>2012</v>
      </c>
      <c r="B11" s="7" t="s">
        <v>0</v>
      </c>
      <c r="C11" s="7" t="s">
        <v>0</v>
      </c>
      <c r="D11" s="7" t="s">
        <v>0</v>
      </c>
      <c r="E11" s="7" t="s">
        <v>0</v>
      </c>
      <c r="F11" s="8" t="s">
        <v>0</v>
      </c>
      <c r="G11" s="15" t="str">
        <f t="shared" si="0"/>
        <v/>
      </c>
    </row>
    <row r="12" spans="1:8" ht="15" customHeight="1" x14ac:dyDescent="0.35">
      <c r="A12" s="26">
        <v>2013</v>
      </c>
      <c r="B12" s="7" t="s">
        <v>0</v>
      </c>
      <c r="C12" s="7" t="s">
        <v>0</v>
      </c>
      <c r="D12" s="7" t="s">
        <v>0</v>
      </c>
      <c r="E12" s="7" t="s">
        <v>0</v>
      </c>
      <c r="F12" s="8" t="s">
        <v>0</v>
      </c>
      <c r="G12" s="15" t="str">
        <f t="shared" si="0"/>
        <v/>
      </c>
    </row>
    <row r="13" spans="1:8" ht="15" customHeight="1" x14ac:dyDescent="0.35">
      <c r="A13" s="26">
        <v>2013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0</v>
      </c>
      <c r="G13" s="15" t="str">
        <f t="shared" si="0"/>
        <v/>
      </c>
    </row>
    <row r="14" spans="1:8" ht="15" customHeight="1" x14ac:dyDescent="0.35">
      <c r="A14" s="26">
        <v>2014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0</v>
      </c>
      <c r="G14" s="15" t="str">
        <f t="shared" si="0"/>
        <v/>
      </c>
    </row>
    <row r="15" spans="1:8" ht="15" customHeight="1" x14ac:dyDescent="0.35">
      <c r="A15" s="26">
        <v>2015</v>
      </c>
      <c r="B15" s="7" t="s">
        <v>0</v>
      </c>
      <c r="C15" s="7" t="s">
        <v>0</v>
      </c>
      <c r="D15" s="7" t="s">
        <v>0</v>
      </c>
      <c r="E15" s="7" t="s">
        <v>0</v>
      </c>
      <c r="F15" s="8" t="s">
        <v>0</v>
      </c>
      <c r="G15" s="15" t="str">
        <f t="shared" si="0"/>
        <v/>
      </c>
    </row>
    <row r="16" spans="1:8" ht="15" customHeight="1" x14ac:dyDescent="0.35">
      <c r="A16" s="26">
        <v>2016</v>
      </c>
      <c r="B16" s="7" t="s">
        <v>0</v>
      </c>
      <c r="C16" s="7" t="s">
        <v>0</v>
      </c>
      <c r="D16" s="7" t="s">
        <v>0</v>
      </c>
      <c r="E16" s="7" t="s">
        <v>0</v>
      </c>
      <c r="F16" s="8" t="s">
        <v>0</v>
      </c>
      <c r="G16" s="15" t="str">
        <f t="shared" si="0"/>
        <v/>
      </c>
    </row>
    <row r="17" spans="1:7" ht="15" customHeight="1" x14ac:dyDescent="0.35">
      <c r="A17" s="26">
        <v>2017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0</v>
      </c>
      <c r="G17" s="15" t="str">
        <f t="shared" si="0"/>
        <v/>
      </c>
    </row>
    <row r="18" spans="1:7" ht="15" customHeight="1" x14ac:dyDescent="0.35">
      <c r="A18" s="26">
        <v>2018</v>
      </c>
      <c r="B18" s="7" t="s">
        <v>0</v>
      </c>
      <c r="C18" s="7" t="s">
        <v>0</v>
      </c>
      <c r="D18" s="7" t="s">
        <v>0</v>
      </c>
      <c r="E18" s="7" t="s">
        <v>0</v>
      </c>
      <c r="F18" s="8" t="s">
        <v>0</v>
      </c>
      <c r="G18" s="15" t="str">
        <f t="shared" si="0"/>
        <v/>
      </c>
    </row>
    <row r="19" spans="1:7" ht="15" customHeight="1" x14ac:dyDescent="0.35">
      <c r="A19" s="26">
        <v>2018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0</v>
      </c>
      <c r="G19" s="15" t="str">
        <f t="shared" si="0"/>
        <v/>
      </c>
    </row>
    <row r="20" spans="1:7" ht="15" customHeight="1" x14ac:dyDescent="0.35">
      <c r="A20" s="26">
        <v>2018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0</v>
      </c>
      <c r="G20" s="15" t="str">
        <f t="shared" si="0"/>
        <v/>
      </c>
    </row>
    <row r="21" spans="1:7" ht="15" customHeight="1" x14ac:dyDescent="0.35">
      <c r="A21" s="26">
        <v>2019</v>
      </c>
      <c r="B21" s="7" t="s">
        <v>0</v>
      </c>
      <c r="C21" s="7" t="s">
        <v>0</v>
      </c>
      <c r="D21" s="7" t="s">
        <v>0</v>
      </c>
      <c r="E21" s="7" t="s">
        <v>0</v>
      </c>
      <c r="F21" s="8" t="s">
        <v>0</v>
      </c>
      <c r="G21" s="15" t="str">
        <f t="shared" si="0"/>
        <v/>
      </c>
    </row>
    <row r="22" spans="1:7" ht="15" customHeight="1" x14ac:dyDescent="0.35">
      <c r="A22" s="26">
        <v>2020</v>
      </c>
      <c r="B22" s="7" t="s">
        <v>0</v>
      </c>
      <c r="C22" s="7" t="s">
        <v>0</v>
      </c>
      <c r="D22" s="7" t="s">
        <v>0</v>
      </c>
      <c r="E22" s="7" t="s">
        <v>0</v>
      </c>
      <c r="F22" s="8" t="s">
        <v>0</v>
      </c>
      <c r="G22" s="15" t="str">
        <f t="shared" si="0"/>
        <v/>
      </c>
    </row>
    <row r="23" spans="1:7" ht="15" customHeight="1" x14ac:dyDescent="0.35">
      <c r="A23" s="26">
        <v>2021</v>
      </c>
      <c r="B23" s="7" t="s">
        <v>0</v>
      </c>
      <c r="C23" s="7" t="s">
        <v>0</v>
      </c>
      <c r="D23" s="7" t="s">
        <v>0</v>
      </c>
      <c r="E23" s="7" t="s">
        <v>0</v>
      </c>
      <c r="F23" s="8" t="s">
        <v>0</v>
      </c>
      <c r="G23" s="15" t="str">
        <f t="shared" ref="G23" si="1">IF(OR(AND(F23&gt;1,F23&lt;&gt;"-")),"Can exchange","")</f>
        <v/>
      </c>
    </row>
    <row r="24" spans="1:7" ht="15" customHeight="1" x14ac:dyDescent="0.35">
      <c r="A24" s="26">
        <v>2022</v>
      </c>
      <c r="B24" s="6" t="s">
        <v>27</v>
      </c>
      <c r="C24" s="3"/>
      <c r="D24" s="3" t="s">
        <v>19</v>
      </c>
      <c r="E24" s="23" t="s">
        <v>48</v>
      </c>
      <c r="F24" s="8">
        <v>0</v>
      </c>
      <c r="G24" s="15" t="str">
        <f t="shared" ref="G24:G25" si="2">IF(OR(AND(F24&gt;1,F24&lt;&gt;"-")),"Can exchange","")</f>
        <v/>
      </c>
    </row>
    <row r="25" spans="1:7" ht="15" customHeight="1" x14ac:dyDescent="0.35">
      <c r="A25" s="26">
        <v>2023</v>
      </c>
      <c r="B25" s="6" t="s">
        <v>28</v>
      </c>
      <c r="C25" s="3"/>
      <c r="D25" s="3" t="s">
        <v>19</v>
      </c>
      <c r="E25" s="23" t="s">
        <v>48</v>
      </c>
      <c r="F25" s="8">
        <v>0</v>
      </c>
      <c r="G25" s="15" t="str">
        <f t="shared" si="2"/>
        <v/>
      </c>
    </row>
    <row r="26" spans="1:7" ht="15" customHeight="1" x14ac:dyDescent="0.35">
      <c r="A26" s="26">
        <v>2023</v>
      </c>
      <c r="B26" s="6" t="s">
        <v>29</v>
      </c>
      <c r="C26" s="3"/>
      <c r="D26" s="3" t="s">
        <v>19</v>
      </c>
      <c r="E26" s="23" t="s">
        <v>48</v>
      </c>
      <c r="F26" s="8">
        <v>0</v>
      </c>
      <c r="G26" s="15" t="str">
        <f t="shared" ref="G26:G33" si="3">IF(OR(AND(F26&gt;1,F26&lt;&gt;"-")),"Can exchange","")</f>
        <v/>
      </c>
    </row>
    <row r="27" spans="1:7" ht="15" customHeight="1" thickBot="1" x14ac:dyDescent="0.4">
      <c r="A27" s="26">
        <v>2023</v>
      </c>
      <c r="B27" s="6" t="s">
        <v>30</v>
      </c>
      <c r="C27" s="3"/>
      <c r="D27" s="3" t="s">
        <v>19</v>
      </c>
      <c r="E27" s="23" t="s">
        <v>48</v>
      </c>
      <c r="F27" s="40">
        <v>0</v>
      </c>
      <c r="G27" s="15" t="str">
        <f t="shared" si="3"/>
        <v/>
      </c>
    </row>
    <row r="28" spans="1:7" ht="15" customHeight="1" x14ac:dyDescent="0.35">
      <c r="A28" s="26">
        <v>2023</v>
      </c>
      <c r="B28" s="6" t="s">
        <v>31</v>
      </c>
      <c r="C28" s="3"/>
      <c r="D28" s="3" t="s">
        <v>19</v>
      </c>
      <c r="E28" s="23" t="s">
        <v>48</v>
      </c>
      <c r="F28" s="8">
        <v>0</v>
      </c>
      <c r="G28" s="15" t="str">
        <f t="shared" si="3"/>
        <v/>
      </c>
    </row>
    <row r="29" spans="1:7" ht="15" customHeight="1" x14ac:dyDescent="0.35">
      <c r="A29" s="26">
        <v>2024</v>
      </c>
      <c r="B29" s="6" t="s">
        <v>32</v>
      </c>
      <c r="C29" s="3"/>
      <c r="D29" s="3" t="s">
        <v>19</v>
      </c>
      <c r="E29" s="23" t="s">
        <v>48</v>
      </c>
      <c r="F29" s="8">
        <v>0</v>
      </c>
      <c r="G29" s="15" t="str">
        <f t="shared" si="3"/>
        <v/>
      </c>
    </row>
    <row r="30" spans="1:7" ht="15" customHeight="1" x14ac:dyDescent="0.35">
      <c r="A30" s="26">
        <v>2024</v>
      </c>
      <c r="B30" s="6" t="s">
        <v>33</v>
      </c>
      <c r="C30" s="3"/>
      <c r="D30" s="3" t="s">
        <v>19</v>
      </c>
      <c r="E30" s="23" t="s">
        <v>48</v>
      </c>
      <c r="F30" s="8">
        <v>0</v>
      </c>
      <c r="G30" s="15" t="str">
        <f t="shared" si="3"/>
        <v/>
      </c>
    </row>
    <row r="31" spans="1:7" ht="15" customHeight="1" x14ac:dyDescent="0.35">
      <c r="A31" s="26">
        <v>2024</v>
      </c>
      <c r="B31" s="6" t="s">
        <v>34</v>
      </c>
      <c r="C31" s="3"/>
      <c r="D31" s="3" t="s">
        <v>19</v>
      </c>
      <c r="E31" s="23" t="s">
        <v>48</v>
      </c>
      <c r="F31" s="8">
        <v>0</v>
      </c>
      <c r="G31" s="15" t="str">
        <f t="shared" si="3"/>
        <v/>
      </c>
    </row>
    <row r="32" spans="1:7" ht="15" customHeight="1" thickBot="1" x14ac:dyDescent="0.4">
      <c r="A32" s="26">
        <v>2024</v>
      </c>
      <c r="B32" s="6" t="s">
        <v>35</v>
      </c>
      <c r="C32" s="3"/>
      <c r="D32" s="3" t="s">
        <v>19</v>
      </c>
      <c r="E32" s="23" t="s">
        <v>48</v>
      </c>
      <c r="F32" s="40">
        <v>0</v>
      </c>
      <c r="G32" s="15" t="str">
        <f t="shared" si="3"/>
        <v/>
      </c>
    </row>
    <row r="33" spans="1:7" ht="15" customHeight="1" x14ac:dyDescent="0.35">
      <c r="A33" s="33">
        <v>2025</v>
      </c>
      <c r="B33" s="6" t="s">
        <v>46</v>
      </c>
      <c r="C33" s="3"/>
      <c r="D33" s="3" t="s">
        <v>19</v>
      </c>
      <c r="E33" s="23" t="s">
        <v>48</v>
      </c>
      <c r="F33" s="8">
        <v>0</v>
      </c>
      <c r="G33" s="15" t="str">
        <f t="shared" si="3"/>
        <v/>
      </c>
    </row>
    <row r="34" spans="1:7" ht="15" customHeight="1" x14ac:dyDescent="0.35">
      <c r="A34" s="32">
        <v>2025</v>
      </c>
      <c r="B34" s="6" t="s">
        <v>38</v>
      </c>
      <c r="C34" s="3"/>
      <c r="D34" s="3" t="s">
        <v>19</v>
      </c>
      <c r="E34" s="23" t="s">
        <v>48</v>
      </c>
      <c r="F34" s="8">
        <v>1</v>
      </c>
      <c r="G34" s="15" t="str">
        <f t="shared" ref="G34:G35" si="4">IF(OR(AND(F34&gt;1,F34&lt;&gt;"-")),"Can exchange","")</f>
        <v/>
      </c>
    </row>
    <row r="35" spans="1:7" ht="15" customHeight="1" x14ac:dyDescent="0.35">
      <c r="A35" s="32">
        <v>2025</v>
      </c>
      <c r="B35" s="6" t="s">
        <v>39</v>
      </c>
      <c r="C35" s="3"/>
      <c r="D35" s="3" t="s">
        <v>19</v>
      </c>
      <c r="E35" s="23" t="s">
        <v>48</v>
      </c>
      <c r="F35" s="8">
        <v>0</v>
      </c>
      <c r="G35" s="15" t="str">
        <f t="shared" si="4"/>
        <v/>
      </c>
    </row>
    <row r="36" spans="1:7" ht="15" customHeight="1" x14ac:dyDescent="0.35">
      <c r="A36" s="33">
        <v>2025</v>
      </c>
      <c r="B36" s="6" t="s">
        <v>43</v>
      </c>
      <c r="C36" s="3" t="s">
        <v>42</v>
      </c>
      <c r="D36" s="3" t="s">
        <v>19</v>
      </c>
      <c r="E36" s="23" t="s">
        <v>47</v>
      </c>
      <c r="F36" s="8">
        <v>0</v>
      </c>
      <c r="G36" s="15" t="str">
        <f t="shared" ref="G36:G38" si="5">IF(OR(AND(F36&gt;1,F36&lt;&gt;"-")),"Can exchange","")</f>
        <v/>
      </c>
    </row>
    <row r="37" spans="1:7" ht="15" customHeight="1" thickBot="1" x14ac:dyDescent="0.4">
      <c r="A37" s="33">
        <v>2025</v>
      </c>
      <c r="B37" s="6" t="s">
        <v>44</v>
      </c>
      <c r="C37" s="3" t="s">
        <v>42</v>
      </c>
      <c r="D37" s="3" t="s">
        <v>19</v>
      </c>
      <c r="E37" s="23" t="s">
        <v>47</v>
      </c>
      <c r="F37" s="40">
        <v>0</v>
      </c>
      <c r="G37" s="15" t="str">
        <f t="shared" si="5"/>
        <v/>
      </c>
    </row>
    <row r="38" spans="1:7" ht="15" customHeight="1" x14ac:dyDescent="0.35">
      <c r="A38" s="33">
        <v>2025</v>
      </c>
      <c r="B38" s="6" t="s">
        <v>45</v>
      </c>
      <c r="C38" s="3" t="s">
        <v>42</v>
      </c>
      <c r="D38" s="3" t="s">
        <v>19</v>
      </c>
      <c r="E38" s="23" t="s">
        <v>47</v>
      </c>
      <c r="F38" s="8">
        <v>0</v>
      </c>
      <c r="G38" s="15" t="str">
        <f t="shared" si="5"/>
        <v/>
      </c>
    </row>
    <row r="51" spans="7:7" ht="15" customHeight="1" x14ac:dyDescent="0.35">
      <c r="G51" s="15" t="str">
        <f>IF(OR(AND(F29&gt;1,F29&lt;&gt;"-")),"Can exchange","")</f>
        <v/>
      </c>
    </row>
    <row r="52" spans="7:7" ht="15" customHeight="1" x14ac:dyDescent="0.35">
      <c r="G52" s="15" t="str">
        <f>IF(OR(AND(F30&gt;1,F30&lt;&gt;"-")),"Can exchange","")</f>
        <v/>
      </c>
    </row>
  </sheetData>
  <autoFilter ref="B2:E2" xr:uid="{9C985906-1F40-4F9F-A28B-610F2E45FBC5}"/>
  <mergeCells count="2">
    <mergeCell ref="A1:A2"/>
    <mergeCell ref="C1:D1"/>
  </mergeCells>
  <phoneticPr fontId="9" type="noConversion"/>
  <conditionalFormatting sqref="F3:F2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22">
    <cfRule type="containsText" dxfId="16" priority="39" operator="containsText" text="*-">
      <formula>NOT(ISERROR(SEARCH(("*-"),(F3))))</formula>
    </cfRule>
  </conditionalFormatting>
  <conditionalFormatting sqref="F25 F29 F3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 F29 F31">
    <cfRule type="containsText" dxfId="15" priority="23" operator="containsText" text="*-">
      <formula>NOT(ISERROR(SEARCH(("*-"),(#REF!))))</formula>
    </cfRule>
  </conditionalFormatting>
  <conditionalFormatting sqref="F24 F26 F28 F3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6 F28 F30">
    <cfRule type="containsText" dxfId="14" priority="21" operator="containsText" text="*-">
      <formula>NOT(ISERROR(SEARCH(("*-"),(#REF!))))</formula>
    </cfRule>
  </conditionalFormatting>
  <conditionalFormatting sqref="F2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13" priority="19" operator="containsText" text="*-">
      <formula>NOT(ISERROR(SEARCH(("*-"),(F23))))</formula>
    </cfRule>
  </conditionalFormatting>
  <conditionalFormatting sqref="F3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">
    <cfRule type="containsText" dxfId="12" priority="17" operator="containsText" text="*-">
      <formula>NOT(ISERROR(SEARCH(("*-"),(#REF!))))</formula>
    </cfRule>
  </conditionalFormatting>
  <conditionalFormatting sqref="F3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5">
    <cfRule type="containsText" dxfId="11" priority="15" operator="containsText" text="*-">
      <formula>NOT(ISERROR(SEARCH(("*-"),(#REF!))))</formula>
    </cfRule>
  </conditionalFormatting>
  <conditionalFormatting sqref="F3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">
    <cfRule type="containsText" dxfId="10" priority="13" operator="containsText" text="*-">
      <formula>NOT(ISERROR(SEARCH(("*-"),(#REF!))))</formula>
    </cfRule>
  </conditionalFormatting>
  <conditionalFormatting sqref="F3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8">
    <cfRule type="containsText" dxfId="8" priority="9" operator="containsText" text="*-">
      <formula>NOT(ISERROR(SEARCH(("*-"),(#REF!))))</formula>
    </cfRule>
  </conditionalFormatting>
  <conditionalFormatting sqref="F3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">
    <cfRule type="containsText" dxfId="7" priority="7" operator="containsText" text="*-">
      <formula>NOT(ISERROR(SEARCH(("*-"),(#REF!))))</formula>
    </cfRule>
  </conditionalFormatting>
  <conditionalFormatting sqref="F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2" priority="5" operator="containsText" text="*-">
      <formula>NOT(ISERROR(SEARCH(("*-"),(#REF!))))</formula>
    </cfRule>
  </conditionalFormatting>
  <conditionalFormatting sqref="F3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">
    <cfRule type="containsText" dxfId="1" priority="3" operator="containsText" text="*-">
      <formula>NOT(ISERROR(SEARCH(("*-"),(#REF!))))</formula>
    </cfRule>
  </conditionalFormatting>
  <conditionalFormatting sqref="F3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7">
    <cfRule type="containsText" dxfId="0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2" customWidth="1"/>
  </cols>
  <sheetData>
    <row r="1" spans="1:3" ht="15" customHeight="1" x14ac:dyDescent="0.35">
      <c r="A1" s="1" t="s">
        <v>7</v>
      </c>
      <c r="B1" s="16" t="s">
        <v>8</v>
      </c>
      <c r="C1" s="11" t="s">
        <v>9</v>
      </c>
    </row>
    <row r="2" spans="1:3" ht="15" customHeight="1" x14ac:dyDescent="0.35">
      <c r="A2" s="1">
        <v>1</v>
      </c>
      <c r="B2" s="17" t="s">
        <v>10</v>
      </c>
      <c r="C2" s="18" t="s">
        <v>11</v>
      </c>
    </row>
    <row r="3" spans="1:3" ht="15" customHeight="1" x14ac:dyDescent="0.35">
      <c r="A3" s="1">
        <v>2</v>
      </c>
      <c r="B3" s="17" t="s">
        <v>13</v>
      </c>
      <c r="C3" s="18" t="s">
        <v>12</v>
      </c>
    </row>
    <row r="4" spans="1:3" ht="32.15" customHeight="1" x14ac:dyDescent="0.35">
      <c r="A4" s="1">
        <v>3</v>
      </c>
      <c r="B4" s="17" t="s">
        <v>14</v>
      </c>
      <c r="C4" s="19" t="s">
        <v>15</v>
      </c>
    </row>
    <row r="5" spans="1:3" ht="30" customHeight="1" x14ac:dyDescent="0.35">
      <c r="A5" s="1">
        <v>4</v>
      </c>
      <c r="B5" s="17" t="s">
        <v>14</v>
      </c>
      <c r="C5" s="19" t="s">
        <v>16</v>
      </c>
    </row>
    <row r="6" spans="1:3" ht="15" customHeight="1" x14ac:dyDescent="0.35">
      <c r="A6" s="1">
        <v>5</v>
      </c>
      <c r="B6" s="17" t="s">
        <v>18</v>
      </c>
      <c r="C6" s="24"/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4AD0886A-D50C-48BE-99C5-B6FD75F66A72}"/>
  </hyperlinks>
  <pageMargins left="0.7" right="0.7" top="0.75" bottom="0.75" header="0.3" footer="0.3"/>
  <pageSetup paperSize="9" orientation="portrait" horizontalDpi="300" verticalDpi="30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 1гривня</vt:lpstr>
      <vt:lpstr>10гривень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2018-10-16T07:27:52Z</dcterms:created>
  <dcterms:modified xsi:type="dcterms:W3CDTF">2026-04-13T07:49:53Z</dcterms:modified>
  <cp:category/>
  <cp:contentStatus/>
</cp:coreProperties>
</file>