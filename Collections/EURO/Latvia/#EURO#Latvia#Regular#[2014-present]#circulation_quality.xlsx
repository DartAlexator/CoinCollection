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Latvia\"/>
    </mc:Choice>
  </mc:AlternateContent>
  <xr:revisionPtr revIDLastSave="0" documentId="13_ncr:1_{F6F36E92-1C70-4B09-A14D-F206ED728AD5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'1€'!$B$2:$H$2</definedName>
    <definedName name="_xlnm._FilterDatabase" localSheetId="3" hidden="1">'10cents'!$B$2:$H$2</definedName>
    <definedName name="_xlnm._FilterDatabase" localSheetId="0" hidden="1">'1cent'!$B$2:$H$2</definedName>
    <definedName name="_xlnm._FilterDatabase" localSheetId="7" hidden="1">'2€'!$B$2:$F$2</definedName>
    <definedName name="_xlnm._FilterDatabase" localSheetId="4" hidden="1">'20cents'!$B$2:$G$2</definedName>
    <definedName name="_xlnm._FilterDatabase" localSheetId="1" hidden="1">'2cents'!$B$2:$G$2</definedName>
    <definedName name="_xlnm._FilterDatabase" localSheetId="5" hidden="1">'50cents'!$B$2:$G$2</definedName>
    <definedName name="_xlnm._FilterDatabase" localSheetId="2" hidden="1">'5cents'!$B$2:$H$2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2" l="1"/>
  <c r="K13" i="12"/>
  <c r="K4" i="12"/>
  <c r="K5" i="12"/>
  <c r="K6" i="12"/>
  <c r="K7" i="12"/>
  <c r="K8" i="12"/>
  <c r="K9" i="12"/>
  <c r="K10" i="12"/>
  <c r="K11" i="12"/>
  <c r="K12" i="12"/>
  <c r="K3" i="12"/>
  <c r="M4" i="11"/>
  <c r="M5" i="11"/>
  <c r="M6" i="11"/>
  <c r="M7" i="11"/>
  <c r="M8" i="11"/>
  <c r="M9" i="11"/>
  <c r="M10" i="11"/>
  <c r="M11" i="11"/>
  <c r="M12" i="11"/>
  <c r="M13" i="11"/>
  <c r="M14" i="11"/>
  <c r="M3" i="11"/>
  <c r="K4" i="9"/>
  <c r="K5" i="9"/>
  <c r="K6" i="9"/>
  <c r="K7" i="9"/>
  <c r="K8" i="9"/>
  <c r="K9" i="9"/>
  <c r="K10" i="9"/>
  <c r="K11" i="9"/>
  <c r="K12" i="9"/>
  <c r="K13" i="9"/>
  <c r="K14" i="9"/>
  <c r="M4" i="7"/>
  <c r="M5" i="7"/>
  <c r="M6" i="7"/>
  <c r="M7" i="7"/>
  <c r="M8" i="7"/>
  <c r="M9" i="7"/>
  <c r="M10" i="7"/>
  <c r="M11" i="7"/>
  <c r="M12" i="7"/>
  <c r="M13" i="7"/>
  <c r="M14" i="7"/>
  <c r="M3" i="7"/>
  <c r="K15" i="9"/>
  <c r="K3" i="9"/>
  <c r="M4" i="8"/>
  <c r="M5" i="8"/>
  <c r="M6" i="8"/>
  <c r="M7" i="8"/>
  <c r="M8" i="8"/>
  <c r="M9" i="8"/>
  <c r="M10" i="8"/>
  <c r="M11" i="8"/>
  <c r="M12" i="8"/>
  <c r="M13" i="8"/>
  <c r="M14" i="8"/>
  <c r="M3" i="8"/>
  <c r="K4" i="5"/>
  <c r="K5" i="5"/>
  <c r="K6" i="5"/>
  <c r="K7" i="5"/>
  <c r="K8" i="5"/>
  <c r="K9" i="5"/>
  <c r="K10" i="5"/>
  <c r="K11" i="5"/>
  <c r="K12" i="5"/>
  <c r="K13" i="5"/>
  <c r="K14" i="5"/>
  <c r="K3" i="5"/>
  <c r="M13" i="4"/>
  <c r="M14" i="4"/>
  <c r="M4" i="4"/>
  <c r="M5" i="4"/>
  <c r="M6" i="4"/>
  <c r="M7" i="4"/>
  <c r="M8" i="4"/>
  <c r="M9" i="4"/>
  <c r="M10" i="4"/>
  <c r="M11" i="4"/>
  <c r="M12" i="4"/>
  <c r="M3" i="4"/>
  <c r="K12" i="10" l="1"/>
  <c r="K11" i="10"/>
  <c r="K10" i="10"/>
  <c r="K9" i="10"/>
  <c r="K8" i="10"/>
  <c r="K7" i="10"/>
  <c r="K6" i="10"/>
  <c r="K5" i="10"/>
  <c r="K4" i="10"/>
  <c r="K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A47208B2-47BF-4A68-9720-2E7F911A5C74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F2" authorId="0" shapeId="0" xr:uid="{BD3285D8-689E-4596-A0F9-10B3A6167B29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G2" authorId="0" shapeId="0" xr:uid="{5C536A1C-81A0-43D5-86C1-3F743F44C735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C0A8D99E-0489-4724-81FE-1F49DC6CAD47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2F024498-A2F2-47C1-88FB-4D5B7CA89C9C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08B72549-E9BA-42FF-936C-2F7DB6D39329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K2" authorId="0" shapeId="0" xr:uid="{50186A23-94A5-48DA-9999-34257EE59E8D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L2" authorId="0" shapeId="0" xr:uid="{E53BC2B4-9FDB-4455-B8C1-21334DD9948B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24B756F7-A0A1-4E01-9672-028D974EBAA8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F2" authorId="0" shapeId="0" xr:uid="{E3AD82FD-E6F5-442E-8BD9-A7EC5D7B65DB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G2" authorId="0" shapeId="0" xr:uid="{D71E0685-D3C4-4168-9B6A-4D76D65F9FA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3430ADAC-066A-406D-A5C7-F1BB201FE1D2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75FB78D3-F9DD-47E6-9D09-41E08A1C5603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7D72700E-9AEE-4247-BBBA-8B4BDBB5117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Автор</author>
  </authors>
  <commentList>
    <comment ref="E2" authorId="0" shapeId="0" xr:uid="{F9376E3F-F45A-403A-AD6C-FB13DF150052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F2" authorId="0" shapeId="0" xr:uid="{E1372A7E-C5FC-465C-9CD3-DEA0394FBDD6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G2" authorId="1" shapeId="0" xr:uid="{569C771C-3F54-41A9-BBFC-6212D00B3A86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3C2F8A74-899F-41B8-AB06-317C0311D45C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44702A9F-FCE4-4DC1-AAD2-1A5A6F89F2D4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J2" authorId="0" shapeId="0" xr:uid="{1766BA43-6E8F-40F7-A397-B50DB8119A9F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K2" authorId="1" shapeId="0" xr:uid="{DD48B984-99B1-4F32-82D4-0E94403D7D59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L2" authorId="0" shapeId="0" xr:uid="{F540C19F-D6AA-425D-9279-FFD86F8EFDC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2E183C5-3A95-429A-BB94-789304DEBC9D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F2" authorId="0" shapeId="0" xr:uid="{61308333-A43B-4CAB-9DD5-87054246E734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G2" authorId="0" shapeId="0" xr:uid="{ADCE4044-1B77-4669-B65C-1119A6815CF4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F08E5966-2B10-425F-A99B-ECDE7784E286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6A37D213-386A-4F33-A8BB-E889A39779D1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0BB0C07F-B9DA-40FB-975D-2D59032DFC9F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K2" authorId="0" shapeId="0" xr:uid="{2E9A0001-D431-4FC8-9F4A-C2990625CDC2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L2" authorId="0" shapeId="0" xr:uid="{51BC8BDD-C4B2-4FCA-BCA9-EA95FF740F03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2366287C-3728-49B1-A24B-51B37DFECAAE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F2" authorId="0" shapeId="0" xr:uid="{691E5B1F-B3EF-49C0-8310-D7F174938632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G2" authorId="0" shapeId="0" xr:uid="{0D308DBC-44BB-4F33-A81A-2FCDE5AB363C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DC8B3D02-B8C0-4EB6-99AC-A979884CE913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B3338F8A-B175-4511-9464-D1EA90DD21BA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E6694C2E-2C05-4301-B768-39459295906F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3030170E-E88C-4189-B669-9FCC0EFAFD86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F2" authorId="0" shapeId="0" xr:uid="{86B51B19-238C-4EE6-B15F-6EB36FAD45C8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G2" authorId="0" shapeId="0" xr:uid="{E00D03F7-9D46-49DE-A99A-1C4DC5942E2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8DF70663-2478-493D-92A1-44C7D8F2EAF1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86292A65-F548-4FCC-ADFB-FABFE492ADA4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FE4A5CB0-67A7-41C6-A3CE-A96CC8A351CC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E2" authorId="0" shapeId="0" xr:uid="{DD74AFE1-17C1-41AC-8F89-6BFCECE0C217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F2" authorId="0" shapeId="0" xr:uid="{E6E39ED5-6F2B-4D65-A30B-8E8488A7568D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G2" authorId="0" shapeId="0" xr:uid="{4201AF5C-FDF8-48EB-885D-E065CF747706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72C4408A-534E-4D28-A37F-1DC87D78D615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FA4E6779-0E7A-45BF-8F3F-3B176DFD932F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93F7A530-19A8-4967-B187-E76DAC2A37BA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K2" authorId="0" shapeId="0" xr:uid="{4145DED5-52FF-4F0D-81BC-241B9E25992A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L2" authorId="0" shapeId="0" xr:uid="{25682B6F-BF88-4073-BC71-F191F0B7BB63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5" authorId="1" shapeId="0" xr:uid="{BAB0E840-A837-45B5-AB3E-F6E32C521B7F}">
      <text>
        <r>
          <rPr>
            <b/>
            <sz val="9"/>
            <color indexed="81"/>
            <rFont val="Tahoma"/>
            <family val="2"/>
            <charset val="204"/>
          </rPr>
          <t>В наборах BU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2BD91D95-CC3C-4278-A1C3-B6F08E141BCB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F2" authorId="0" shapeId="0" xr:uid="{56C810F3-E93B-47A3-87C8-F753378C5013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G2" authorId="0" shapeId="0" xr:uid="{37279DF1-176F-4F6B-9FA1-2803BE653DB2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CE31C8CA-73C3-4772-A817-8631171C4C63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360DE6D8-3142-4D5A-BD43-A75AA88D8AAF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J2" authorId="0" shapeId="0" xr:uid="{5CE9F310-7B0A-4BD6-BBB6-2553D2CB6D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sharedStrings.xml><?xml version="1.0" encoding="utf-8"?>
<sst xmlns="http://schemas.openxmlformats.org/spreadsheetml/2006/main" count="1045" uniqueCount="53">
  <si>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</si>
  <si>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</si>
  <si>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</si>
  <si>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</si>
  <si>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</si>
  <si>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</si>
  <si>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</si>
  <si>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</si>
  <si>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</si>
  <si>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</si>
  <si>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</si>
  <si>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</si>
  <si>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</si>
  <si>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</si>
  <si>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</si>
  <si>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</si>
  <si>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</si>
  <si>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</si>
  <si>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</si>
  <si>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Photo of coins</t>
  </si>
  <si>
    <t>eurocollection</t>
  </si>
  <si>
    <t>Low convenience table of varieties</t>
  </si>
  <si>
    <t>High convenience single table of varieties with photos</t>
  </si>
  <si>
    <t>High convenience set of tables table of actual coins with photos</t>
  </si>
  <si>
    <t>coinsplanet.ru</t>
  </si>
  <si>
    <t>120.035.000</t>
  </si>
  <si>
    <t>30.000</t>
  </si>
  <si>
    <t>5.000</t>
  </si>
  <si>
    <t>80.035.000</t>
  </si>
  <si>
    <t>50.035.000</t>
  </si>
  <si>
    <t>40.035.000</t>
  </si>
  <si>
    <t>35.035.000</t>
  </si>
  <si>
    <t>25.035.000</t>
  </si>
  <si>
    <t>30.035.000</t>
  </si>
  <si>
    <t>20.035.000</t>
  </si>
  <si>
    <t>Obv: Without mint symbol</t>
  </si>
  <si>
    <t>Rev: new map of Europe</t>
  </si>
  <si>
    <t>Obv: Lesser coat of arms of Latvia</t>
  </si>
  <si>
    <t>Obv: Greater coat of arms of Latvia</t>
  </si>
  <si>
    <t>Obv: Latvian maiden</t>
  </si>
  <si>
    <t>7.000</t>
  </si>
  <si>
    <t>LT</t>
  </si>
  <si>
    <t>FI</t>
  </si>
  <si>
    <t>15.000.000</t>
  </si>
  <si>
    <t>Subject</t>
  </si>
  <si>
    <t>Subtype_1#Special_marks_1</t>
  </si>
  <si>
    <t>Subtype_2#Special_distinctions_1</t>
  </si>
  <si>
    <t>Subtype_2#Map_of_Europe</t>
  </si>
  <si>
    <t>G</t>
  </si>
  <si>
    <t>F</t>
  </si>
  <si>
    <t>NL</t>
  </si>
  <si>
    <t>6.000</t>
  </si>
  <si>
    <t>10.000.000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</si>
</sst>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  <font>
      <sz val="11"/>
      <color rgb="FFFF0000"/>
      <name val="Calibri"/>
      <family val="2"/>
      <charset val="204"/>
    </font>
    <font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rgb="FFDDEBF7"/>
        <bgColor rgb="FFDDEBF7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0" fillId="0" borderId="0" xfId="0" applyFont="1" applyAlignment="1"/>
    <xf numFmtId="3" fontId="3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3" fontId="3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 shrinkToFit="1"/>
    </xf>
    <xf numFmtId="3" fontId="3" fillId="3" borderId="1" xfId="0" applyNumberFormat="1" applyFont="1" applyFill="1" applyBorder="1" applyAlignment="1">
      <alignment horizontal="center" vertical="center" shrinkToFit="1"/>
    </xf>
    <xf numFmtId="3" fontId="3" fillId="4" borderId="1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4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4" fillId="7" borderId="9" xfId="2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shrinkToFit="1"/>
    </xf>
    <xf numFmtId="3" fontId="3" fillId="3" borderId="6" xfId="0" applyNumberFormat="1" applyFont="1" applyFill="1" applyBorder="1" applyAlignment="1">
      <alignment horizontal="center" vertical="center" shrinkToFit="1"/>
    </xf>
    <xf numFmtId="3" fontId="3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49" fontId="5" fillId="5" borderId="11" xfId="0" applyNumberFormat="1" applyFont="1" applyFill="1" applyBorder="1" applyAlignment="1">
      <alignment horizontal="center" vertical="center" shrinkToFit="1"/>
    </xf>
    <xf numFmtId="49" fontId="5" fillId="5" borderId="0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5" fillId="5" borderId="1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34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euro-coins.info/info/mintage/latvia.html" TargetMode="External"/><Relationship Id="rId1" Type="http://schemas.openxmlformats.org/officeDocument/2006/relationships/hyperlink" Target="https://en.ucoin.net/catalog/?country=latvia" TargetMode="External"/><Relationship Id="rId6" Type="http://schemas.openxmlformats.org/officeDocument/2006/relationships/hyperlink" Target="https://coinsplanet.ru/upload/013/u1372/001/9e08e8ac.jpg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://www.eurocollectio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pane xSplit="13" ySplit="2" topLeftCell="N3" activePane="bottomRight" state="frozen"/>
      <selection pane="topRight" activeCell="J1" sqref="J1"/>
      <selection pane="bottomLeft" activeCell="A3" sqref="A3"/>
      <selection pane="bottomRight" activeCell="M3" sqref="M3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6" width="12.6328125" style="2" customWidth="1"/>
    <col min="7" max="8" width="12.6328125" customWidth="1"/>
    <col min="9" max="10" width="3.6328125" style="2" customWidth="1"/>
    <col min="11" max="12" width="3.6328125" customWidth="1"/>
    <col min="13" max="13" width="12.6328125" style="2" customWidth="1"/>
  </cols>
  <sheetData>
    <row r="1" spans="1:13" ht="15" customHeight="1" x14ac:dyDescent="0.35">
      <c r="A1" s="27" t="s">
        <v>1</v>
      </c>
      <c r="B1" s="24"/>
      <c r="C1" s="29" t="s">
        <v>2</v>
      </c>
      <c r="D1" s="30"/>
      <c r="E1" s="31" t="s">
        <v>3</v>
      </c>
      <c r="F1" s="32"/>
      <c r="G1" s="33"/>
      <c r="H1" s="34"/>
      <c r="I1" s="35" t="s">
        <v>4</v>
      </c>
      <c r="J1" s="36"/>
      <c r="K1" s="37"/>
      <c r="L1" s="38"/>
      <c r="M1" s="1"/>
    </row>
    <row r="2" spans="1:13" ht="15" customHeight="1" x14ac:dyDescent="0.35">
      <c r="A2" s="28"/>
      <c r="B2" s="24" t="s">
        <v>44</v>
      </c>
      <c r="C2" s="3" t="s">
        <v>45</v>
      </c>
      <c r="D2" s="3" t="s">
        <v>46</v>
      </c>
      <c r="E2" s="5" t="s">
        <v>48</v>
      </c>
      <c r="F2" s="5" t="s">
        <v>49</v>
      </c>
      <c r="G2" s="5" t="s">
        <v>41</v>
      </c>
      <c r="H2" s="5" t="s">
        <v>50</v>
      </c>
      <c r="I2" s="3" t="s">
        <v>48</v>
      </c>
      <c r="J2" s="3" t="s">
        <v>49</v>
      </c>
      <c r="K2" s="16" t="s">
        <v>41</v>
      </c>
      <c r="L2" s="16" t="s">
        <v>50</v>
      </c>
      <c r="M2" s="1"/>
    </row>
    <row r="3" spans="1:13" ht="15" customHeight="1" x14ac:dyDescent="0.35">
      <c r="A3" s="6">
        <v>2014</v>
      </c>
      <c r="B3" s="7" t="s">
        <v>37</v>
      </c>
      <c r="C3" s="21" t="s">
        <v>35</v>
      </c>
      <c r="D3" s="8"/>
      <c r="E3" s="9" t="s">
        <v>25</v>
      </c>
      <c r="F3" s="4" t="s">
        <v>0</v>
      </c>
      <c r="G3" s="4" t="s">
        <v>0</v>
      </c>
      <c r="H3" s="4" t="s">
        <v>0</v>
      </c>
      <c r="I3" s="17">
        <v>0</v>
      </c>
      <c r="J3" s="17" t="s">
        <v>0</v>
      </c>
      <c r="K3" s="17" t="s">
        <v>0</v>
      </c>
      <c r="L3" s="17" t="s">
        <v>0</v>
      </c>
      <c r="M3" s="23" t="str">
        <f>IF(OR(AND(I3&gt;1,I3&lt;&gt;"-"),AND(J3&gt;1,J3&lt;&gt;"-"),AND(K3&gt;1,K3&lt;&gt;"-"),AND(L3&gt;1,L3&lt;&gt;"-")),"Can exchange","")</f>
        <v/>
      </c>
    </row>
    <row r="4" spans="1:13" ht="15" customHeight="1" x14ac:dyDescent="0.35">
      <c r="A4" s="6">
        <v>2015</v>
      </c>
      <c r="B4" s="7" t="s">
        <v>37</v>
      </c>
      <c r="C4" s="21" t="s">
        <v>35</v>
      </c>
      <c r="D4" s="8"/>
      <c r="E4" s="4" t="s">
        <v>0</v>
      </c>
      <c r="F4" s="20" t="s">
        <v>26</v>
      </c>
      <c r="G4" s="4" t="s">
        <v>0</v>
      </c>
      <c r="H4" s="4" t="s">
        <v>0</v>
      </c>
      <c r="I4" s="17" t="s">
        <v>0</v>
      </c>
      <c r="J4" s="17" t="s">
        <v>0</v>
      </c>
      <c r="K4" s="17" t="s">
        <v>0</v>
      </c>
      <c r="L4" s="17" t="s">
        <v>0</v>
      </c>
      <c r="M4" s="23" t="str">
        <f t="shared" ref="M4:M14" si="0">IF(OR(AND(I4&gt;1,I4&lt;&gt;"-"),AND(J4&gt;1,J4&lt;&gt;"-"),AND(K4&gt;1,K4&lt;&gt;"-"),AND(L4&gt;1,L4&lt;&gt;"-")),"Can exchange","")</f>
        <v/>
      </c>
    </row>
    <row r="5" spans="1:13" ht="15" customHeight="1" x14ac:dyDescent="0.35">
      <c r="A5" s="6">
        <v>2016</v>
      </c>
      <c r="B5" s="7" t="s">
        <v>37</v>
      </c>
      <c r="C5" s="21" t="s">
        <v>35</v>
      </c>
      <c r="D5" s="8"/>
      <c r="E5" s="4" t="s">
        <v>0</v>
      </c>
      <c r="F5" s="20" t="s">
        <v>27</v>
      </c>
      <c r="G5" s="4" t="s">
        <v>0</v>
      </c>
      <c r="H5" s="4" t="s">
        <v>0</v>
      </c>
      <c r="I5" s="17" t="s">
        <v>0</v>
      </c>
      <c r="J5" s="17" t="s">
        <v>0</v>
      </c>
      <c r="K5" s="17" t="s">
        <v>0</v>
      </c>
      <c r="L5" s="17" t="s">
        <v>0</v>
      </c>
      <c r="M5" s="23" t="str">
        <f t="shared" si="0"/>
        <v/>
      </c>
    </row>
    <row r="6" spans="1:13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17" t="s">
        <v>0</v>
      </c>
      <c r="J6" s="17" t="s">
        <v>0</v>
      </c>
      <c r="K6" s="17" t="s">
        <v>0</v>
      </c>
      <c r="L6" s="17" t="s">
        <v>0</v>
      </c>
      <c r="M6" s="23" t="str">
        <f t="shared" si="0"/>
        <v/>
      </c>
    </row>
    <row r="7" spans="1:13" ht="15" customHeight="1" x14ac:dyDescent="0.35">
      <c r="A7" s="6">
        <v>2018</v>
      </c>
      <c r="B7" s="7" t="s">
        <v>37</v>
      </c>
      <c r="C7" s="21" t="s">
        <v>35</v>
      </c>
      <c r="D7" s="8"/>
      <c r="E7" s="4" t="s">
        <v>0</v>
      </c>
      <c r="F7" s="20" t="s">
        <v>40</v>
      </c>
      <c r="G7" s="4" t="s">
        <v>0</v>
      </c>
      <c r="H7" s="4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23" t="str">
        <f t="shared" si="0"/>
        <v/>
      </c>
    </row>
    <row r="8" spans="1:13" ht="15" customHeight="1" x14ac:dyDescent="0.35">
      <c r="A8" s="6">
        <v>2019</v>
      </c>
      <c r="B8" s="7" t="s">
        <v>37</v>
      </c>
      <c r="C8" s="21" t="s">
        <v>35</v>
      </c>
      <c r="D8" s="8"/>
      <c r="E8" s="4" t="s">
        <v>0</v>
      </c>
      <c r="F8" s="4" t="s">
        <v>0</v>
      </c>
      <c r="G8" s="4" t="s">
        <v>0</v>
      </c>
      <c r="H8" s="20" t="s">
        <v>40</v>
      </c>
      <c r="I8" s="17" t="s">
        <v>0</v>
      </c>
      <c r="J8" s="17" t="s">
        <v>0</v>
      </c>
      <c r="K8" s="17" t="s">
        <v>0</v>
      </c>
      <c r="L8" s="17" t="s">
        <v>0</v>
      </c>
      <c r="M8" s="23" t="str">
        <f t="shared" si="0"/>
        <v/>
      </c>
    </row>
    <row r="9" spans="1:13" ht="15" customHeight="1" x14ac:dyDescent="0.35">
      <c r="A9" s="6">
        <v>2020</v>
      </c>
      <c r="B9" s="7" t="s">
        <v>37</v>
      </c>
      <c r="C9" s="21" t="s">
        <v>35</v>
      </c>
      <c r="D9" s="8"/>
      <c r="E9" s="4" t="s">
        <v>0</v>
      </c>
      <c r="F9" s="4" t="s">
        <v>0</v>
      </c>
      <c r="G9" s="4" t="s">
        <v>0</v>
      </c>
      <c r="H9" s="20" t="s">
        <v>40</v>
      </c>
      <c r="I9" s="17" t="s">
        <v>0</v>
      </c>
      <c r="J9" s="17" t="s">
        <v>0</v>
      </c>
      <c r="K9" s="17" t="s">
        <v>0</v>
      </c>
      <c r="L9" s="17" t="s">
        <v>0</v>
      </c>
      <c r="M9" s="23" t="str">
        <f t="shared" si="0"/>
        <v/>
      </c>
    </row>
    <row r="10" spans="1:13" ht="15" customHeight="1" x14ac:dyDescent="0.35">
      <c r="A10" s="6">
        <v>2021</v>
      </c>
      <c r="B10" s="7" t="s">
        <v>37</v>
      </c>
      <c r="C10" s="21" t="s">
        <v>35</v>
      </c>
      <c r="D10" s="8"/>
      <c r="E10" s="4" t="s">
        <v>0</v>
      </c>
      <c r="F10" s="20" t="s">
        <v>40</v>
      </c>
      <c r="G10" s="4" t="s">
        <v>0</v>
      </c>
      <c r="H10" s="4" t="s">
        <v>0</v>
      </c>
      <c r="I10" s="17" t="s">
        <v>0</v>
      </c>
      <c r="J10" s="17" t="s">
        <v>0</v>
      </c>
      <c r="K10" s="17" t="s">
        <v>0</v>
      </c>
      <c r="L10" s="17" t="s">
        <v>0</v>
      </c>
      <c r="M10" s="23" t="str">
        <f t="shared" si="0"/>
        <v/>
      </c>
    </row>
    <row r="11" spans="1:13" ht="15" customHeight="1" x14ac:dyDescent="0.35">
      <c r="A11" s="6">
        <v>2022</v>
      </c>
      <c r="B11" s="7" t="s">
        <v>37</v>
      </c>
      <c r="C11" s="21" t="s">
        <v>35</v>
      </c>
      <c r="D11" s="8"/>
      <c r="E11" s="4" t="s">
        <v>0</v>
      </c>
      <c r="F11" s="4" t="s">
        <v>0</v>
      </c>
      <c r="G11" s="20" t="s">
        <v>40</v>
      </c>
      <c r="H11" s="4" t="s">
        <v>0</v>
      </c>
      <c r="I11" s="17" t="s">
        <v>0</v>
      </c>
      <c r="J11" s="17" t="s">
        <v>0</v>
      </c>
      <c r="K11" s="17" t="s">
        <v>0</v>
      </c>
      <c r="L11" s="17" t="s">
        <v>0</v>
      </c>
      <c r="M11" s="23" t="str">
        <f t="shared" si="0"/>
        <v/>
      </c>
    </row>
    <row r="12" spans="1:13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7" t="s">
        <v>0</v>
      </c>
      <c r="J12" s="17" t="s">
        <v>0</v>
      </c>
      <c r="K12" s="17" t="s">
        <v>0</v>
      </c>
      <c r="L12" s="17" t="s">
        <v>0</v>
      </c>
      <c r="M12" s="23" t="str">
        <f t="shared" si="0"/>
        <v/>
      </c>
    </row>
    <row r="13" spans="1:13" ht="15" customHeight="1" x14ac:dyDescent="0.35">
      <c r="A13" s="6">
        <v>2024</v>
      </c>
      <c r="B13" s="7" t="s">
        <v>37</v>
      </c>
      <c r="C13" s="21" t="s">
        <v>35</v>
      </c>
      <c r="D13" s="8"/>
      <c r="E13" s="4" t="s">
        <v>0</v>
      </c>
      <c r="F13" s="4" t="s">
        <v>0</v>
      </c>
      <c r="G13" s="4" t="s">
        <v>0</v>
      </c>
      <c r="H13" s="20" t="s">
        <v>51</v>
      </c>
      <c r="I13" s="17" t="s">
        <v>0</v>
      </c>
      <c r="J13" s="17" t="s">
        <v>0</v>
      </c>
      <c r="K13" s="17" t="s">
        <v>0</v>
      </c>
      <c r="L13" s="17" t="s">
        <v>0</v>
      </c>
      <c r="M13" s="23" t="str">
        <f t="shared" si="0"/>
        <v/>
      </c>
    </row>
    <row r="14" spans="1:13" ht="15" customHeight="1" x14ac:dyDescent="0.35">
      <c r="A14" s="6">
        <v>2025</v>
      </c>
      <c r="B14" s="7" t="s">
        <v>37</v>
      </c>
      <c r="C14" s="21" t="s">
        <v>35</v>
      </c>
      <c r="D14" s="8"/>
      <c r="E14" s="4" t="s">
        <v>0</v>
      </c>
      <c r="F14" s="4" t="s">
        <v>0</v>
      </c>
      <c r="G14" s="20" t="s">
        <v>51</v>
      </c>
      <c r="H14" s="4" t="s">
        <v>0</v>
      </c>
      <c r="I14" s="17" t="s">
        <v>0</v>
      </c>
      <c r="J14" s="17" t="s">
        <v>0</v>
      </c>
      <c r="K14" s="17" t="s">
        <v>0</v>
      </c>
      <c r="L14" s="17" t="s">
        <v>0</v>
      </c>
      <c r="M14" s="23" t="str">
        <f t="shared" si="0"/>
        <v/>
      </c>
    </row>
  </sheetData>
  <autoFilter ref="B2:H2" xr:uid="{00000000-0001-0000-0000-000000000000}"/>
  <mergeCells count="4">
    <mergeCell ref="A1:A2"/>
    <mergeCell ref="C1:D1"/>
    <mergeCell ref="E1:H1"/>
    <mergeCell ref="I1:L1"/>
  </mergeCells>
  <phoneticPr fontId="7" type="noConversion"/>
  <conditionalFormatting sqref="I3:I6">
    <cfRule type="containsText" dxfId="233" priority="81" operator="containsText" text="*-">
      <formula>NOT(ISERROR(SEARCH(("*-"),(I3))))</formula>
    </cfRule>
  </conditionalFormatting>
  <conditionalFormatting sqref="I3:I6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 I10">
    <cfRule type="containsText" dxfId="232" priority="59" operator="containsText" text="*-">
      <formula>NOT(ISERROR(SEARCH(("*-"),(I7))))</formula>
    </cfRule>
  </conditionalFormatting>
  <conditionalFormatting sqref="I7 I1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231" priority="57" operator="containsText" text="*-">
      <formula>NOT(ISERROR(SEARCH(("*-"),(I8))))</formula>
    </cfRule>
  </conditionalFormatting>
  <conditionalFormatting sqref="I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 I11">
    <cfRule type="containsText" dxfId="230" priority="55" operator="containsText" text="*-">
      <formula>NOT(ISERROR(SEARCH(("*-"),(I9))))</formula>
    </cfRule>
  </conditionalFormatting>
  <conditionalFormatting sqref="I11 I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6">
    <cfRule type="containsText" dxfId="229" priority="53" operator="containsText" text="*-">
      <formula>NOT(ISERROR(SEARCH(("*-"),(K3))))</formula>
    </cfRule>
  </conditionalFormatting>
  <conditionalFormatting sqref="K3:K6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228" priority="51" operator="containsText" text="*-">
      <formula>NOT(ISERROR(SEARCH(("*-"),(K7))))</formula>
    </cfRule>
  </conditionalFormatting>
  <conditionalFormatting sqref="K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 K10">
    <cfRule type="containsText" dxfId="227" priority="49" operator="containsText" text="*-">
      <formula>NOT(ISERROR(SEARCH(("*-"),(K8))))</formula>
    </cfRule>
  </conditionalFormatting>
  <conditionalFormatting sqref="K8 K1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 K11">
    <cfRule type="containsText" dxfId="226" priority="47" operator="containsText" text="*-">
      <formula>NOT(ISERROR(SEARCH(("*-"),(K9))))</formula>
    </cfRule>
  </conditionalFormatting>
  <conditionalFormatting sqref="K11 K9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:K11 K3:K6">
    <cfRule type="containsText" dxfId="225" priority="45" operator="containsText" text="*-">
      <formula>NOT(ISERROR(SEARCH(("*-"),(K3))))</formula>
    </cfRule>
  </conditionalFormatting>
  <conditionalFormatting sqref="K9:K11 K3:K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224" priority="43" operator="containsText" text="*-">
      <formula>NOT(ISERROR(SEARCH(("*-"),(K8))))</formula>
    </cfRule>
  </conditionalFormatting>
  <conditionalFormatting sqref="K8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223" priority="41" operator="containsText" text="*-">
      <formula>NOT(ISERROR(SEARCH(("*-"),(K7))))</formula>
    </cfRule>
  </conditionalFormatting>
  <conditionalFormatting sqref="K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222" priority="39" operator="containsText" text="*-">
      <formula>NOT(ISERROR(SEARCH(("*-"),(I12))))</formula>
    </cfRule>
  </conditionalFormatting>
  <conditionalFormatting sqref="I1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221" priority="37" operator="containsText" text="*-">
      <formula>NOT(ISERROR(SEARCH(("*-"),(K12))))</formula>
    </cfRule>
  </conditionalFormatting>
  <conditionalFormatting sqref="K1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220" priority="35" operator="containsText" text="*-">
      <formula>NOT(ISERROR(SEARCH(("*-"),(K12))))</formula>
    </cfRule>
  </conditionalFormatting>
  <conditionalFormatting sqref="K1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">
    <cfRule type="containsText" dxfId="219" priority="33" operator="containsText" text="*-">
      <formula>NOT(ISERROR(SEARCH(("*-"),(J3))))</formula>
    </cfRule>
  </conditionalFormatting>
  <conditionalFormatting sqref="J3:J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 J10">
    <cfRule type="containsText" dxfId="218" priority="31" operator="containsText" text="*-">
      <formula>NOT(ISERROR(SEARCH(("*-"),(J7))))</formula>
    </cfRule>
  </conditionalFormatting>
  <conditionalFormatting sqref="J7 J1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217" priority="29" operator="containsText" text="*-">
      <formula>NOT(ISERROR(SEARCH(("*-"),(J8))))</formula>
    </cfRule>
  </conditionalFormatting>
  <conditionalFormatting sqref="J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 J11">
    <cfRule type="containsText" dxfId="216" priority="27" operator="containsText" text="*-">
      <formula>NOT(ISERROR(SEARCH(("*-"),(J9))))</formula>
    </cfRule>
  </conditionalFormatting>
  <conditionalFormatting sqref="J11 J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215" priority="25" operator="containsText" text="*-">
      <formula>NOT(ISERROR(SEARCH(("*-"),(J12))))</formula>
    </cfRule>
  </conditionalFormatting>
  <conditionalFormatting sqref="J1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214" priority="1" operator="containsText" text="*-">
      <formula>NOT(ISERROR(SEARCH(("*-"),(L14))))</formula>
    </cfRule>
  </conditionalFormatting>
  <conditionalFormatting sqref="I13">
    <cfRule type="containsText" dxfId="213" priority="23" operator="containsText" text="*-">
      <formula>NOT(ISERROR(SEARCH(("*-"),(I13))))</formula>
    </cfRule>
  </conditionalFormatting>
  <conditionalFormatting sqref="I1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212" priority="21" operator="containsText" text="*-">
      <formula>NOT(ISERROR(SEARCH(("*-"),(K13))))</formula>
    </cfRule>
  </conditionalFormatting>
  <conditionalFormatting sqref="K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211" priority="19" operator="containsText" text="*-">
      <formula>NOT(ISERROR(SEARCH(("*-"),(K13))))</formula>
    </cfRule>
  </conditionalFormatting>
  <conditionalFormatting sqref="K1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210" priority="17" operator="containsText" text="*-">
      <formula>NOT(ISERROR(SEARCH(("*-"),(J13))))</formula>
    </cfRule>
  </conditionalFormatting>
  <conditionalFormatting sqref="J1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L13">
    <cfRule type="containsText" dxfId="209" priority="15" operator="containsText" text="*-">
      <formula>NOT(ISERROR(SEARCH(("*-"),(L3))))</formula>
    </cfRule>
  </conditionalFormatting>
  <conditionalFormatting sqref="L3:L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L13">
    <cfRule type="containsText" dxfId="208" priority="13" operator="containsText" text="*-">
      <formula>NOT(ISERROR(SEARCH(("*-"),(L3))))</formula>
    </cfRule>
  </conditionalFormatting>
  <conditionalFormatting sqref="L3:L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207" priority="11" operator="containsText" text="*-">
      <formula>NOT(ISERROR(SEARCH(("*-"),(I14))))</formula>
    </cfRule>
  </conditionalFormatting>
  <conditionalFormatting sqref="I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206" priority="9" operator="containsText" text="*-">
      <formula>NOT(ISERROR(SEARCH(("*-"),(K14))))</formula>
    </cfRule>
  </conditionalFormatting>
  <conditionalFormatting sqref="K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205" priority="7" operator="containsText" text="*-">
      <formula>NOT(ISERROR(SEARCH(("*-"),(K14))))</formula>
    </cfRule>
  </conditionalFormatting>
  <conditionalFormatting sqref="K1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204" priority="5" operator="containsText" text="*-">
      <formula>NOT(ISERROR(SEARCH(("*-"),(J14))))</formula>
    </cfRule>
  </conditionalFormatting>
  <conditionalFormatting sqref="J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203" priority="3" operator="containsText" text="*-">
      <formula>NOT(ISERROR(SEARCH(("*-"),(L14))))</formula>
    </cfRule>
  </conditionalFormatting>
  <conditionalFormatting sqref="L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D36" sqref="D36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5" width="12.6328125" style="2" customWidth="1"/>
    <col min="6" max="7" width="12.6328125" customWidth="1"/>
    <col min="8" max="8" width="3.6328125" style="2" customWidth="1"/>
    <col min="9" max="10" width="3.6328125" customWidth="1"/>
    <col min="11" max="11" width="12.6328125" style="2" customWidth="1"/>
  </cols>
  <sheetData>
    <row r="1" spans="1:11" ht="15" customHeight="1" x14ac:dyDescent="0.35">
      <c r="A1" s="27" t="s">
        <v>1</v>
      </c>
      <c r="B1" s="24"/>
      <c r="C1" s="29" t="s">
        <v>2</v>
      </c>
      <c r="D1" s="30"/>
      <c r="E1" s="31" t="s">
        <v>3</v>
      </c>
      <c r="F1" s="33"/>
      <c r="G1" s="34"/>
      <c r="H1" s="35" t="s">
        <v>5</v>
      </c>
      <c r="I1" s="37"/>
      <c r="J1" s="38"/>
      <c r="K1" s="1"/>
    </row>
    <row r="2" spans="1:11" ht="15" customHeight="1" x14ac:dyDescent="0.35">
      <c r="A2" s="28"/>
      <c r="B2" s="24" t="s">
        <v>44</v>
      </c>
      <c r="C2" s="3" t="s">
        <v>45</v>
      </c>
      <c r="D2" s="3" t="s">
        <v>46</v>
      </c>
      <c r="E2" s="5" t="s">
        <v>49</v>
      </c>
      <c r="F2" s="5" t="s">
        <v>41</v>
      </c>
      <c r="G2" s="5" t="s">
        <v>50</v>
      </c>
      <c r="H2" s="3" t="s">
        <v>49</v>
      </c>
      <c r="I2" s="16" t="s">
        <v>41</v>
      </c>
      <c r="J2" s="16" t="s">
        <v>50</v>
      </c>
      <c r="K2" s="1"/>
    </row>
    <row r="3" spans="1:11" ht="15" customHeight="1" x14ac:dyDescent="0.35">
      <c r="A3" s="6">
        <v>2014</v>
      </c>
      <c r="B3" s="7" t="s">
        <v>37</v>
      </c>
      <c r="C3" s="21" t="s">
        <v>35</v>
      </c>
      <c r="D3" s="8"/>
      <c r="E3" s="9" t="s">
        <v>28</v>
      </c>
      <c r="F3" s="4" t="s">
        <v>0</v>
      </c>
      <c r="G3" s="4" t="s">
        <v>0</v>
      </c>
      <c r="H3" s="17">
        <v>1</v>
      </c>
      <c r="I3" s="17" t="s">
        <v>0</v>
      </c>
      <c r="J3" s="17" t="s">
        <v>0</v>
      </c>
      <c r="K3" s="23" t="str">
        <f>IF(OR(AND(H3&gt;1,H3&lt;&gt;"-"),AND(I3&gt;1,I3&lt;&gt;"-"),AND(J3&gt;1,J3&lt;&gt;"-")),"Can exchange","")</f>
        <v/>
      </c>
    </row>
    <row r="4" spans="1:11" ht="15" customHeight="1" x14ac:dyDescent="0.35">
      <c r="A4" s="6">
        <v>2015</v>
      </c>
      <c r="B4" s="7" t="s">
        <v>37</v>
      </c>
      <c r="C4" s="21" t="s">
        <v>35</v>
      </c>
      <c r="D4" s="8"/>
      <c r="E4" s="20" t="s">
        <v>26</v>
      </c>
      <c r="F4" s="4" t="s">
        <v>0</v>
      </c>
      <c r="G4" s="4" t="s">
        <v>0</v>
      </c>
      <c r="H4" s="17" t="s">
        <v>0</v>
      </c>
      <c r="I4" s="17" t="s">
        <v>0</v>
      </c>
      <c r="J4" s="17" t="s">
        <v>0</v>
      </c>
      <c r="K4" s="23" t="str">
        <f t="shared" ref="K4:K14" si="0">IF(OR(AND(H4&gt;1,H4&lt;&gt;"-"),AND(I4&gt;1,I4&lt;&gt;"-"),AND(J4&gt;1,J4&lt;&gt;"-")),"Can exchange","")</f>
        <v/>
      </c>
    </row>
    <row r="5" spans="1:11" ht="15" customHeight="1" x14ac:dyDescent="0.35">
      <c r="A5" s="6">
        <v>2016</v>
      </c>
      <c r="B5" s="7" t="s">
        <v>37</v>
      </c>
      <c r="C5" s="21" t="s">
        <v>35</v>
      </c>
      <c r="D5" s="8"/>
      <c r="E5" s="20" t="s">
        <v>27</v>
      </c>
      <c r="F5" s="4" t="s">
        <v>0</v>
      </c>
      <c r="G5" s="4" t="s">
        <v>0</v>
      </c>
      <c r="H5" s="17" t="s">
        <v>0</v>
      </c>
      <c r="I5" s="17" t="s">
        <v>0</v>
      </c>
      <c r="J5" s="17" t="s">
        <v>0</v>
      </c>
      <c r="K5" s="23" t="str">
        <f t="shared" si="0"/>
        <v/>
      </c>
    </row>
    <row r="6" spans="1:11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17" t="s">
        <v>0</v>
      </c>
      <c r="I6" s="17" t="s">
        <v>0</v>
      </c>
      <c r="J6" s="17" t="s">
        <v>0</v>
      </c>
      <c r="K6" s="23" t="str">
        <f t="shared" si="0"/>
        <v/>
      </c>
    </row>
    <row r="7" spans="1:11" ht="15" customHeight="1" x14ac:dyDescent="0.35">
      <c r="A7" s="6">
        <v>2018</v>
      </c>
      <c r="B7" s="7" t="s">
        <v>37</v>
      </c>
      <c r="C7" s="21" t="s">
        <v>35</v>
      </c>
      <c r="D7" s="8"/>
      <c r="E7" s="20" t="s">
        <v>40</v>
      </c>
      <c r="F7" s="4" t="s">
        <v>0</v>
      </c>
      <c r="G7" s="4" t="s">
        <v>0</v>
      </c>
      <c r="H7" s="17" t="s">
        <v>0</v>
      </c>
      <c r="I7" s="17" t="s">
        <v>0</v>
      </c>
      <c r="J7" s="17" t="s">
        <v>0</v>
      </c>
      <c r="K7" s="23" t="str">
        <f t="shared" si="0"/>
        <v/>
      </c>
    </row>
    <row r="8" spans="1:11" ht="15" customHeight="1" x14ac:dyDescent="0.35">
      <c r="A8" s="6">
        <v>2019</v>
      </c>
      <c r="B8" s="7" t="s">
        <v>37</v>
      </c>
      <c r="C8" s="21" t="s">
        <v>35</v>
      </c>
      <c r="D8" s="8"/>
      <c r="E8" s="4" t="s">
        <v>0</v>
      </c>
      <c r="F8" s="4" t="s">
        <v>0</v>
      </c>
      <c r="G8" s="20" t="s">
        <v>40</v>
      </c>
      <c r="H8" s="17" t="s">
        <v>0</v>
      </c>
      <c r="I8" s="17" t="s">
        <v>0</v>
      </c>
      <c r="J8" s="17" t="s">
        <v>0</v>
      </c>
      <c r="K8" s="23" t="str">
        <f t="shared" si="0"/>
        <v/>
      </c>
    </row>
    <row r="9" spans="1:11" ht="15" customHeight="1" x14ac:dyDescent="0.35">
      <c r="A9" s="6">
        <v>2020</v>
      </c>
      <c r="B9" s="7" t="s">
        <v>37</v>
      </c>
      <c r="C9" s="21" t="s">
        <v>35</v>
      </c>
      <c r="D9" s="8"/>
      <c r="E9" s="4" t="s">
        <v>0</v>
      </c>
      <c r="F9" s="4" t="s">
        <v>0</v>
      </c>
      <c r="G9" s="20" t="s">
        <v>40</v>
      </c>
      <c r="H9" s="17" t="s">
        <v>0</v>
      </c>
      <c r="I9" s="17" t="s">
        <v>0</v>
      </c>
      <c r="J9" s="17" t="s">
        <v>0</v>
      </c>
      <c r="K9" s="23" t="str">
        <f t="shared" si="0"/>
        <v/>
      </c>
    </row>
    <row r="10" spans="1:11" ht="15" customHeight="1" x14ac:dyDescent="0.35">
      <c r="A10" s="6">
        <v>2021</v>
      </c>
      <c r="B10" s="7" t="s">
        <v>37</v>
      </c>
      <c r="C10" s="21" t="s">
        <v>35</v>
      </c>
      <c r="D10" s="8"/>
      <c r="E10" s="20" t="s">
        <v>40</v>
      </c>
      <c r="F10" s="4" t="s">
        <v>0</v>
      </c>
      <c r="G10" s="4" t="s">
        <v>0</v>
      </c>
      <c r="H10" s="17" t="s">
        <v>0</v>
      </c>
      <c r="I10" s="17" t="s">
        <v>0</v>
      </c>
      <c r="J10" s="17" t="s">
        <v>0</v>
      </c>
      <c r="K10" s="23" t="str">
        <f t="shared" si="0"/>
        <v/>
      </c>
    </row>
    <row r="11" spans="1:11" ht="15" customHeight="1" x14ac:dyDescent="0.35">
      <c r="A11" s="6">
        <v>2022</v>
      </c>
      <c r="B11" s="7" t="s">
        <v>37</v>
      </c>
      <c r="C11" s="21" t="s">
        <v>35</v>
      </c>
      <c r="D11" s="8"/>
      <c r="E11" s="4" t="s">
        <v>0</v>
      </c>
      <c r="F11" s="20" t="s">
        <v>40</v>
      </c>
      <c r="G11" s="4" t="s">
        <v>0</v>
      </c>
      <c r="H11" s="17" t="s">
        <v>0</v>
      </c>
      <c r="I11" s="17" t="s">
        <v>0</v>
      </c>
      <c r="J11" s="17" t="s">
        <v>0</v>
      </c>
      <c r="K11" s="23" t="str">
        <f t="shared" si="0"/>
        <v/>
      </c>
    </row>
    <row r="12" spans="1:11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7" t="s">
        <v>0</v>
      </c>
      <c r="I12" s="17" t="s">
        <v>0</v>
      </c>
      <c r="J12" s="17" t="s">
        <v>0</v>
      </c>
      <c r="K12" s="23" t="str">
        <f t="shared" si="0"/>
        <v/>
      </c>
    </row>
    <row r="13" spans="1:11" ht="15" customHeight="1" x14ac:dyDescent="0.35">
      <c r="A13" s="6">
        <v>2024</v>
      </c>
      <c r="B13" s="7" t="s">
        <v>37</v>
      </c>
      <c r="C13" s="21" t="s">
        <v>35</v>
      </c>
      <c r="D13" s="8"/>
      <c r="E13" s="4" t="s">
        <v>0</v>
      </c>
      <c r="F13" s="4" t="s">
        <v>0</v>
      </c>
      <c r="G13" s="20" t="s">
        <v>51</v>
      </c>
      <c r="H13" s="17" t="s">
        <v>0</v>
      </c>
      <c r="I13" s="17" t="s">
        <v>0</v>
      </c>
      <c r="J13" s="17" t="s">
        <v>0</v>
      </c>
      <c r="K13" s="23" t="str">
        <f t="shared" si="0"/>
        <v/>
      </c>
    </row>
    <row r="14" spans="1:11" ht="15" customHeight="1" x14ac:dyDescent="0.35">
      <c r="A14" s="6">
        <v>2025</v>
      </c>
      <c r="B14" s="7" t="s">
        <v>37</v>
      </c>
      <c r="C14" s="21" t="s">
        <v>35</v>
      </c>
      <c r="D14" s="8"/>
      <c r="E14" s="4" t="s">
        <v>0</v>
      </c>
      <c r="F14" s="20" t="s">
        <v>51</v>
      </c>
      <c r="G14" s="4" t="s">
        <v>0</v>
      </c>
      <c r="H14" s="17" t="s">
        <v>0</v>
      </c>
      <c r="I14" s="17" t="s">
        <v>0</v>
      </c>
      <c r="J14" s="17" t="s">
        <v>0</v>
      </c>
      <c r="K14" s="23" t="str">
        <f t="shared" si="0"/>
        <v/>
      </c>
    </row>
    <row r="15" spans="1:11" ht="15" customHeight="1" x14ac:dyDescent="0.35">
      <c r="J15" s="26"/>
    </row>
  </sheetData>
  <autoFilter ref="B2:G2" xr:uid="{00000000-0001-0000-0100-000000000000}"/>
  <mergeCells count="4">
    <mergeCell ref="A1:A2"/>
    <mergeCell ref="C1:D1"/>
    <mergeCell ref="E1:G1"/>
    <mergeCell ref="H1:J1"/>
  </mergeCells>
  <phoneticPr fontId="7" type="noConversion"/>
  <conditionalFormatting sqref="H3:H6">
    <cfRule type="containsText" dxfId="202" priority="143" operator="containsText" text="*-">
      <formula>NOT(ISERROR(SEARCH(("*-"),(H3))))</formula>
    </cfRule>
  </conditionalFormatting>
  <conditionalFormatting sqref="H3:H6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 H10:H11">
    <cfRule type="containsText" dxfId="201" priority="141" operator="containsText" text="*-">
      <formula>NOT(ISERROR(SEARCH(("*-"),(H7))))</formula>
    </cfRule>
  </conditionalFormatting>
  <conditionalFormatting sqref="H10:H11 H7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200" priority="139" operator="containsText" text="*-">
      <formula>NOT(ISERROR(SEARCH(("*-"),(H8))))</formula>
    </cfRule>
  </conditionalFormatting>
  <conditionalFormatting sqref="H8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199" priority="137" operator="containsText" text="*-">
      <formula>NOT(ISERROR(SEARCH(("*-"),(H9))))</formula>
    </cfRule>
  </conditionalFormatting>
  <conditionalFormatting sqref="H9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6">
    <cfRule type="containsText" dxfId="198" priority="135" operator="containsText" text="*-">
      <formula>NOT(ISERROR(SEARCH(("*-"),(I3))))</formula>
    </cfRule>
  </conditionalFormatting>
  <conditionalFormatting sqref="I3:I6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97" priority="133" operator="containsText" text="*-">
      <formula>NOT(ISERROR(SEARCH(("*-"),(I7))))</formula>
    </cfRule>
  </conditionalFormatting>
  <conditionalFormatting sqref="I7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 I10">
    <cfRule type="containsText" dxfId="196" priority="131" operator="containsText" text="*-">
      <formula>NOT(ISERROR(SEARCH(("*-"),(I8))))</formula>
    </cfRule>
  </conditionalFormatting>
  <conditionalFormatting sqref="I10 I8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 I11">
    <cfRule type="containsText" dxfId="195" priority="129" operator="containsText" text="*-">
      <formula>NOT(ISERROR(SEARCH(("*-"),(I9))))</formula>
    </cfRule>
  </conditionalFormatting>
  <conditionalFormatting sqref="I11 I9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6 I9:I11">
    <cfRule type="containsText" dxfId="194" priority="127" operator="containsText" text="*-">
      <formula>NOT(ISERROR(SEARCH(("*-"),(I3))))</formula>
    </cfRule>
  </conditionalFormatting>
  <conditionalFormatting sqref="I3:I6 I9:I11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93" priority="125" operator="containsText" text="*-">
      <formula>NOT(ISERROR(SEARCH(("*-"),(I8))))</formula>
    </cfRule>
  </conditionalFormatting>
  <conditionalFormatting sqref="I8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92" priority="123" operator="containsText" text="*-">
      <formula>NOT(ISERROR(SEARCH(("*-"),(I7))))</formula>
    </cfRule>
  </conditionalFormatting>
  <conditionalFormatting sqref="I7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91" priority="121" operator="containsText" text="*-">
      <formula>NOT(ISERROR(SEARCH(("*-"),(H12))))</formula>
    </cfRule>
  </conditionalFormatting>
  <conditionalFormatting sqref="H12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90" priority="119" operator="containsText" text="*-">
      <formula>NOT(ISERROR(SEARCH(("*-"),(I12))))</formula>
    </cfRule>
  </conditionalFormatting>
  <conditionalFormatting sqref="I12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89" priority="117" operator="containsText" text="*-">
      <formula>NOT(ISERROR(SEARCH(("*-"),(I12))))</formula>
    </cfRule>
  </conditionalFormatting>
  <conditionalFormatting sqref="I12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88" priority="115" operator="containsText" text="*-">
      <formula>NOT(ISERROR(SEARCH(("*-"),(H14))))</formula>
    </cfRule>
  </conditionalFormatting>
  <conditionalFormatting sqref="H14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87" priority="113" operator="containsText" text="*-">
      <formula>NOT(ISERROR(SEARCH(("*-"),(I14))))</formula>
    </cfRule>
  </conditionalFormatting>
  <conditionalFormatting sqref="I14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86" priority="111" operator="containsText" text="*-">
      <formula>NOT(ISERROR(SEARCH(("*-"),(I14))))</formula>
    </cfRule>
  </conditionalFormatting>
  <conditionalFormatting sqref="I14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85" priority="107" operator="containsText" text="*-">
      <formula>NOT(ISERROR(SEARCH(("*-"),(J15))))</formula>
    </cfRule>
  </conditionalFormatting>
  <conditionalFormatting sqref="J15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84" priority="105" operator="containsText" text="*-">
      <formula>NOT(ISERROR(SEARCH(("*-"),(J15))))</formula>
    </cfRule>
  </conditionalFormatting>
  <conditionalFormatting sqref="J1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">
    <cfRule type="containsText" dxfId="183" priority="41" operator="containsText" text="*-">
      <formula>NOT(ISERROR(SEARCH(("*-"),(J3))))</formula>
    </cfRule>
  </conditionalFormatting>
  <conditionalFormatting sqref="J3:J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82" priority="39" operator="containsText" text="*-">
      <formula>NOT(ISERROR(SEARCH(("*-"),(J7))))</formula>
    </cfRule>
  </conditionalFormatting>
  <conditionalFormatting sqref="J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 J10">
    <cfRule type="containsText" dxfId="181" priority="37" operator="containsText" text="*-">
      <formula>NOT(ISERROR(SEARCH(("*-"),(J8))))</formula>
    </cfRule>
  </conditionalFormatting>
  <conditionalFormatting sqref="J10 J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 J11">
    <cfRule type="containsText" dxfId="180" priority="35" operator="containsText" text="*-">
      <formula>NOT(ISERROR(SEARCH(("*-"),(J9))))</formula>
    </cfRule>
  </conditionalFormatting>
  <conditionalFormatting sqref="J11 J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 J9:J11">
    <cfRule type="containsText" dxfId="179" priority="33" operator="containsText" text="*-">
      <formula>NOT(ISERROR(SEARCH(("*-"),(J3))))</formula>
    </cfRule>
  </conditionalFormatting>
  <conditionalFormatting sqref="J3:J6 J9:J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178" priority="31" operator="containsText" text="*-">
      <formula>NOT(ISERROR(SEARCH(("*-"),(J8))))</formula>
    </cfRule>
  </conditionalFormatting>
  <conditionalFormatting sqref="J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77" priority="29" operator="containsText" text="*-">
      <formula>NOT(ISERROR(SEARCH(("*-"),(J7))))</formula>
    </cfRule>
  </conditionalFormatting>
  <conditionalFormatting sqref="J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76" priority="15" operator="containsText" text="*-">
      <formula>NOT(ISERROR(SEARCH(("*-"),(I14))))</formula>
    </cfRule>
  </conditionalFormatting>
  <conditionalFormatting sqref="I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75" priority="13" operator="containsText" text="*-">
      <formula>NOT(ISERROR(SEARCH(("*-"),(I14))))</formula>
    </cfRule>
  </conditionalFormatting>
  <conditionalFormatting sqref="I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74" priority="23" operator="containsText" text="*-">
      <formula>NOT(ISERROR(SEARCH(("*-"),(H13))))</formula>
    </cfRule>
  </conditionalFormatting>
  <conditionalFormatting sqref="H1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73" priority="21" operator="containsText" text="*-">
      <formula>NOT(ISERROR(SEARCH(("*-"),(I13))))</formula>
    </cfRule>
  </conditionalFormatting>
  <conditionalFormatting sqref="I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72" priority="19" operator="containsText" text="*-">
      <formula>NOT(ISERROR(SEARCH(("*-"),(I13))))</formula>
    </cfRule>
  </conditionalFormatting>
  <conditionalFormatting sqref="I1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71" priority="17" operator="containsText" text="*-">
      <formula>NOT(ISERROR(SEARCH(("*-"),(H14))))</formula>
    </cfRule>
  </conditionalFormatting>
  <conditionalFormatting sqref="H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70" priority="11" operator="containsText" text="*-">
      <formula>NOT(ISERROR(SEARCH(("*-"),(J12))))</formula>
    </cfRule>
  </conditionalFormatting>
  <conditionalFormatting sqref="J1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69" priority="9" operator="containsText" text="*-">
      <formula>NOT(ISERROR(SEARCH(("*-"),(J12))))</formula>
    </cfRule>
  </conditionalFormatting>
  <conditionalFormatting sqref="J1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68" priority="7" operator="containsText" text="*-">
      <formula>NOT(ISERROR(SEARCH(("*-"),(J14))))</formula>
    </cfRule>
  </conditionalFormatting>
  <conditionalFormatting sqref="J1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67" priority="5" operator="containsText" text="*-">
      <formula>NOT(ISERROR(SEARCH(("*-"),(J14))))</formula>
    </cfRule>
  </conditionalFormatting>
  <conditionalFormatting sqref="J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66" priority="3" operator="containsText" text="*-">
      <formula>NOT(ISERROR(SEARCH(("*-"),(J13))))</formula>
    </cfRule>
  </conditionalFormatting>
  <conditionalFormatting sqref="J1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65" priority="1" operator="containsText" text="*-">
      <formula>NOT(ISERROR(SEARCH(("*-"),(J13))))</formula>
    </cfRule>
  </conditionalFormatting>
  <conditionalFormatting sqref="J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workbookViewId="0">
      <pane xSplit="13" ySplit="2" topLeftCell="N3" activePane="bottomRight" state="frozen"/>
      <selection pane="topRight" activeCell="J1" sqref="J1"/>
      <selection pane="bottomLeft" activeCell="A3" sqref="A3"/>
      <selection pane="bottomRight" activeCell="L22" sqref="L22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5" width="12.6328125" style="2" customWidth="1"/>
    <col min="6" max="8" width="12.6328125" customWidth="1"/>
    <col min="9" max="9" width="3.6328125" style="2" customWidth="1"/>
    <col min="10" max="12" width="3.81640625" customWidth="1"/>
    <col min="13" max="13" width="13.7265625" style="2" customWidth="1"/>
  </cols>
  <sheetData>
    <row r="1" spans="1:13" ht="15" customHeight="1" x14ac:dyDescent="0.35">
      <c r="A1" s="27" t="s">
        <v>1</v>
      </c>
      <c r="B1" s="24"/>
      <c r="C1" s="29" t="s">
        <v>2</v>
      </c>
      <c r="D1" s="30"/>
      <c r="E1" s="39" t="s">
        <v>3</v>
      </c>
      <c r="F1" s="40"/>
      <c r="G1" s="40"/>
      <c r="H1" s="41"/>
      <c r="I1" s="35" t="s">
        <v>6</v>
      </c>
      <c r="J1" s="37"/>
      <c r="K1" s="38"/>
      <c r="L1" s="38"/>
      <c r="M1" s="1"/>
    </row>
    <row r="2" spans="1:13" ht="15" customHeight="1" x14ac:dyDescent="0.35">
      <c r="A2" s="28"/>
      <c r="B2" s="24" t="s">
        <v>44</v>
      </c>
      <c r="C2" s="3" t="s">
        <v>45</v>
      </c>
      <c r="D2" s="3" t="s">
        <v>46</v>
      </c>
      <c r="E2" s="5" t="s">
        <v>49</v>
      </c>
      <c r="F2" s="5" t="s">
        <v>41</v>
      </c>
      <c r="G2" s="5" t="s">
        <v>42</v>
      </c>
      <c r="H2" s="5" t="s">
        <v>50</v>
      </c>
      <c r="I2" s="3" t="s">
        <v>49</v>
      </c>
      <c r="J2" s="16" t="s">
        <v>41</v>
      </c>
      <c r="K2" s="16" t="s">
        <v>42</v>
      </c>
      <c r="L2" s="16" t="s">
        <v>50</v>
      </c>
      <c r="M2" s="1"/>
    </row>
    <row r="3" spans="1:13" ht="15" customHeight="1" x14ac:dyDescent="0.35">
      <c r="A3" s="6">
        <v>2014</v>
      </c>
      <c r="B3" s="7" t="s">
        <v>37</v>
      </c>
      <c r="C3" s="21" t="s">
        <v>35</v>
      </c>
      <c r="D3" s="8"/>
      <c r="E3" s="9" t="s">
        <v>29</v>
      </c>
      <c r="F3" s="4" t="s">
        <v>0</v>
      </c>
      <c r="G3" s="4" t="s">
        <v>0</v>
      </c>
      <c r="H3" s="4" t="s">
        <v>0</v>
      </c>
      <c r="I3" s="17">
        <v>1</v>
      </c>
      <c r="J3" s="17" t="s">
        <v>0</v>
      </c>
      <c r="K3" s="17" t="s">
        <v>0</v>
      </c>
      <c r="L3" s="17" t="s">
        <v>0</v>
      </c>
      <c r="M3" s="23" t="str">
        <f>IF(OR(AND(I3&gt;1,I3&lt;&gt;"-"),AND(J3&gt;1,J3&lt;&gt;"-"),AND(K3&gt;1,K3&lt;&gt;"-"),AND(L3&gt;1,L3&lt;&gt;"-")),"Can exchange","")</f>
        <v/>
      </c>
    </row>
    <row r="4" spans="1:13" ht="15" customHeight="1" x14ac:dyDescent="0.35">
      <c r="A4" s="6">
        <v>2015</v>
      </c>
      <c r="B4" s="7" t="s">
        <v>37</v>
      </c>
      <c r="C4" s="21" t="s">
        <v>35</v>
      </c>
      <c r="D4" s="8"/>
      <c r="E4" s="20" t="s">
        <v>26</v>
      </c>
      <c r="F4" s="4" t="s">
        <v>0</v>
      </c>
      <c r="G4" s="4" t="s">
        <v>0</v>
      </c>
      <c r="H4" s="4" t="s">
        <v>0</v>
      </c>
      <c r="I4" s="17" t="s">
        <v>0</v>
      </c>
      <c r="J4" s="17" t="s">
        <v>0</v>
      </c>
      <c r="K4" s="17" t="s">
        <v>0</v>
      </c>
      <c r="L4" s="17" t="s">
        <v>0</v>
      </c>
      <c r="M4" s="23" t="str">
        <f t="shared" ref="M4:M14" si="0">IF(OR(AND(I4&gt;1,I4&lt;&gt;"-"),AND(J4&gt;1,J4&lt;&gt;"-"),AND(K4&gt;1,K4&lt;&gt;"-"),AND(L4&gt;1,L4&lt;&gt;"-")),"Can exchange","")</f>
        <v/>
      </c>
    </row>
    <row r="5" spans="1:13" ht="15" customHeight="1" x14ac:dyDescent="0.35">
      <c r="A5" s="6">
        <v>2016</v>
      </c>
      <c r="B5" s="7" t="s">
        <v>37</v>
      </c>
      <c r="C5" s="21" t="s">
        <v>35</v>
      </c>
      <c r="D5" s="8"/>
      <c r="E5" s="20" t="s">
        <v>27</v>
      </c>
      <c r="F5" s="4" t="s">
        <v>0</v>
      </c>
      <c r="G5" s="4" t="s">
        <v>0</v>
      </c>
      <c r="H5" s="4" t="s">
        <v>0</v>
      </c>
      <c r="I5" s="17" t="s">
        <v>0</v>
      </c>
      <c r="J5" s="17" t="s">
        <v>0</v>
      </c>
      <c r="K5" s="17" t="s">
        <v>0</v>
      </c>
      <c r="L5" s="17" t="s">
        <v>0</v>
      </c>
      <c r="M5" s="23" t="str">
        <f t="shared" si="0"/>
        <v/>
      </c>
    </row>
    <row r="6" spans="1:13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17" t="s">
        <v>0</v>
      </c>
      <c r="J6" s="17" t="s">
        <v>0</v>
      </c>
      <c r="K6" s="17" t="s">
        <v>0</v>
      </c>
      <c r="L6" s="17" t="s">
        <v>0</v>
      </c>
      <c r="M6" s="23" t="str">
        <f t="shared" si="0"/>
        <v/>
      </c>
    </row>
    <row r="7" spans="1:13" ht="15" customHeight="1" x14ac:dyDescent="0.35">
      <c r="A7" s="6">
        <v>2018</v>
      </c>
      <c r="B7" s="7" t="s">
        <v>37</v>
      </c>
      <c r="C7" s="21" t="s">
        <v>35</v>
      </c>
      <c r="D7" s="8"/>
      <c r="E7" s="20" t="s">
        <v>40</v>
      </c>
      <c r="F7" s="4" t="s">
        <v>0</v>
      </c>
      <c r="G7" s="4" t="s">
        <v>0</v>
      </c>
      <c r="H7" s="4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23" t="str">
        <f t="shared" si="0"/>
        <v/>
      </c>
    </row>
    <row r="8" spans="1:13" ht="15" customHeight="1" x14ac:dyDescent="0.35">
      <c r="A8" s="6">
        <v>2019</v>
      </c>
      <c r="B8" s="7" t="s">
        <v>37</v>
      </c>
      <c r="C8" s="21" t="s">
        <v>35</v>
      </c>
      <c r="D8" s="8"/>
      <c r="E8" s="9" t="s">
        <v>43</v>
      </c>
      <c r="F8" s="4" t="s">
        <v>0</v>
      </c>
      <c r="G8" s="4" t="s">
        <v>0</v>
      </c>
      <c r="H8" s="20" t="s">
        <v>40</v>
      </c>
      <c r="I8" s="17">
        <v>0</v>
      </c>
      <c r="J8" s="17" t="s">
        <v>0</v>
      </c>
      <c r="K8" s="17" t="s">
        <v>0</v>
      </c>
      <c r="L8" s="17" t="s">
        <v>0</v>
      </c>
      <c r="M8" s="23" t="str">
        <f t="shared" si="0"/>
        <v/>
      </c>
    </row>
    <row r="9" spans="1:13" ht="15" customHeight="1" x14ac:dyDescent="0.35">
      <c r="A9" s="6">
        <v>2020</v>
      </c>
      <c r="B9" s="7" t="s">
        <v>37</v>
      </c>
      <c r="C9" s="21" t="s">
        <v>35</v>
      </c>
      <c r="D9" s="8"/>
      <c r="E9" s="4" t="s">
        <v>0</v>
      </c>
      <c r="F9" s="4" t="s">
        <v>0</v>
      </c>
      <c r="G9" s="4" t="s">
        <v>0</v>
      </c>
      <c r="H9" s="20" t="s">
        <v>40</v>
      </c>
      <c r="I9" s="17" t="s">
        <v>0</v>
      </c>
      <c r="J9" s="17" t="s">
        <v>0</v>
      </c>
      <c r="K9" s="17" t="s">
        <v>0</v>
      </c>
      <c r="L9" s="17" t="s">
        <v>0</v>
      </c>
      <c r="M9" s="23" t="str">
        <f t="shared" si="0"/>
        <v/>
      </c>
    </row>
    <row r="10" spans="1:13" ht="15" customHeight="1" x14ac:dyDescent="0.35">
      <c r="A10" s="6">
        <v>2021</v>
      </c>
      <c r="B10" s="7" t="s">
        <v>37</v>
      </c>
      <c r="C10" s="21" t="s">
        <v>35</v>
      </c>
      <c r="D10" s="8"/>
      <c r="E10" s="20" t="s">
        <v>40</v>
      </c>
      <c r="F10" s="4" t="s">
        <v>0</v>
      </c>
      <c r="G10" s="4" t="s">
        <v>0</v>
      </c>
      <c r="H10" s="4" t="s">
        <v>0</v>
      </c>
      <c r="I10" s="17" t="s">
        <v>0</v>
      </c>
      <c r="J10" s="17" t="s">
        <v>0</v>
      </c>
      <c r="K10" s="17" t="s">
        <v>0</v>
      </c>
      <c r="L10" s="17" t="s">
        <v>0</v>
      </c>
      <c r="M10" s="23" t="str">
        <f t="shared" si="0"/>
        <v/>
      </c>
    </row>
    <row r="11" spans="1:13" ht="15" customHeight="1" x14ac:dyDescent="0.35">
      <c r="A11" s="6">
        <v>2022</v>
      </c>
      <c r="B11" s="7" t="s">
        <v>37</v>
      </c>
      <c r="C11" s="21" t="s">
        <v>35</v>
      </c>
      <c r="D11" s="8"/>
      <c r="E11" s="4" t="s">
        <v>0</v>
      </c>
      <c r="F11" s="20" t="s">
        <v>40</v>
      </c>
      <c r="G11" s="4" t="s">
        <v>0</v>
      </c>
      <c r="H11" s="4" t="s">
        <v>0</v>
      </c>
      <c r="I11" s="17" t="s">
        <v>0</v>
      </c>
      <c r="J11" s="17" t="s">
        <v>0</v>
      </c>
      <c r="K11" s="17" t="s">
        <v>0</v>
      </c>
      <c r="L11" s="17" t="s">
        <v>0</v>
      </c>
      <c r="M11" s="23" t="str">
        <f t="shared" si="0"/>
        <v/>
      </c>
    </row>
    <row r="12" spans="1:13" ht="15" customHeight="1" x14ac:dyDescent="0.35">
      <c r="A12" s="6">
        <v>2023</v>
      </c>
      <c r="B12" s="7" t="s">
        <v>37</v>
      </c>
      <c r="C12" s="21" t="s">
        <v>35</v>
      </c>
      <c r="D12" s="8"/>
      <c r="E12" s="4" t="s">
        <v>0</v>
      </c>
      <c r="F12" s="4" t="s">
        <v>0</v>
      </c>
      <c r="G12" s="9" t="s">
        <v>43</v>
      </c>
      <c r="H12" s="4" t="s">
        <v>0</v>
      </c>
      <c r="I12" s="17" t="s">
        <v>0</v>
      </c>
      <c r="J12" s="17" t="s">
        <v>0</v>
      </c>
      <c r="K12" s="17">
        <v>0</v>
      </c>
      <c r="L12" s="17" t="s">
        <v>0</v>
      </c>
      <c r="M12" s="23" t="str">
        <f t="shared" si="0"/>
        <v/>
      </c>
    </row>
    <row r="13" spans="1:13" ht="15" customHeight="1" x14ac:dyDescent="0.35">
      <c r="A13" s="6">
        <v>2024</v>
      </c>
      <c r="B13" s="7" t="s">
        <v>37</v>
      </c>
      <c r="C13" s="21" t="s">
        <v>35</v>
      </c>
      <c r="D13" s="8"/>
      <c r="E13" s="4" t="s">
        <v>0</v>
      </c>
      <c r="F13" s="4" t="s">
        <v>0</v>
      </c>
      <c r="G13" s="4" t="s">
        <v>0</v>
      </c>
      <c r="H13" s="20" t="s">
        <v>51</v>
      </c>
      <c r="I13" s="17" t="s">
        <v>0</v>
      </c>
      <c r="J13" s="17" t="s">
        <v>0</v>
      </c>
      <c r="K13" s="17" t="s">
        <v>0</v>
      </c>
      <c r="L13" s="17" t="s">
        <v>0</v>
      </c>
      <c r="M13" s="23" t="str">
        <f t="shared" si="0"/>
        <v/>
      </c>
    </row>
    <row r="14" spans="1:13" ht="15" customHeight="1" x14ac:dyDescent="0.35">
      <c r="A14" s="6">
        <v>2025</v>
      </c>
      <c r="B14" s="7" t="s">
        <v>37</v>
      </c>
      <c r="C14" s="21" t="s">
        <v>35</v>
      </c>
      <c r="D14" s="8"/>
      <c r="E14" s="4" t="s">
        <v>0</v>
      </c>
      <c r="F14" s="20" t="s">
        <v>51</v>
      </c>
      <c r="G14" s="4" t="s">
        <v>0</v>
      </c>
      <c r="H14" s="4" t="s">
        <v>0</v>
      </c>
      <c r="I14" s="17" t="s">
        <v>0</v>
      </c>
      <c r="J14" s="17" t="s">
        <v>0</v>
      </c>
      <c r="K14" s="17" t="s">
        <v>0</v>
      </c>
      <c r="L14" s="17" t="s">
        <v>0</v>
      </c>
      <c r="M14" s="23" t="str">
        <f t="shared" si="0"/>
        <v/>
      </c>
    </row>
    <row r="15" spans="1:13" ht="15" customHeight="1" x14ac:dyDescent="0.35">
      <c r="E15"/>
    </row>
  </sheetData>
  <autoFilter ref="B2:H2" xr:uid="{00000000-0001-0000-0200-000000000000}"/>
  <mergeCells count="4">
    <mergeCell ref="A1:A2"/>
    <mergeCell ref="C1:D1"/>
    <mergeCell ref="I1:L1"/>
    <mergeCell ref="E1:H1"/>
  </mergeCells>
  <phoneticPr fontId="8" type="noConversion"/>
  <conditionalFormatting sqref="I3:I6">
    <cfRule type="containsText" dxfId="164" priority="129" operator="containsText" text="*-">
      <formula>NOT(ISERROR(SEARCH(("*-"),(I3))))</formula>
    </cfRule>
  </conditionalFormatting>
  <conditionalFormatting sqref="I3:I6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63" priority="127" operator="containsText" text="*-">
      <formula>NOT(ISERROR(SEARCH(("*-"),(I7))))</formula>
    </cfRule>
  </conditionalFormatting>
  <conditionalFormatting sqref="I7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 I11">
    <cfRule type="containsText" dxfId="162" priority="123" operator="containsText" text="*-">
      <formula>NOT(ISERROR(SEARCH(("*-"),(I9))))</formula>
    </cfRule>
  </conditionalFormatting>
  <conditionalFormatting sqref="I11 I9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61" priority="121" operator="containsText" text="*-">
      <formula>NOT(ISERROR(SEARCH(("*-"),(I8))))</formula>
    </cfRule>
  </conditionalFormatting>
  <conditionalFormatting sqref="I8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">
    <cfRule type="containsText" dxfId="160" priority="119" operator="containsText" text="*-">
      <formula>NOT(ISERROR(SEARCH(("*-"),(I10))))</formula>
    </cfRule>
  </conditionalFormatting>
  <conditionalFormatting sqref="I10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">
    <cfRule type="containsText" dxfId="159" priority="117" operator="containsText" text="*-">
      <formula>NOT(ISERROR(SEARCH(("*-"),(J3))))</formula>
    </cfRule>
  </conditionalFormatting>
  <conditionalFormatting sqref="J3:J6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58" priority="115" operator="containsText" text="*-">
      <formula>NOT(ISERROR(SEARCH(("*-"),(J7))))</formula>
    </cfRule>
  </conditionalFormatting>
  <conditionalFormatting sqref="J7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 J10">
    <cfRule type="containsText" dxfId="157" priority="113" operator="containsText" text="*-">
      <formula>NOT(ISERROR(SEARCH(("*-"),(J8))))</formula>
    </cfRule>
  </conditionalFormatting>
  <conditionalFormatting sqref="J8 J10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 J11">
    <cfRule type="containsText" dxfId="156" priority="111" operator="containsText" text="*-">
      <formula>NOT(ISERROR(SEARCH(("*-"),(J9))))</formula>
    </cfRule>
  </conditionalFormatting>
  <conditionalFormatting sqref="J11 J9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 J9:J11">
    <cfRule type="containsText" dxfId="155" priority="109" operator="containsText" text="*-">
      <formula>NOT(ISERROR(SEARCH(("*-"),(J3))))</formula>
    </cfRule>
  </conditionalFormatting>
  <conditionalFormatting sqref="J3:J6 J9:J11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154" priority="107" operator="containsText" text="*-">
      <formula>NOT(ISERROR(SEARCH(("*-"),(J8))))</formula>
    </cfRule>
  </conditionalFormatting>
  <conditionalFormatting sqref="J8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53" priority="105" operator="containsText" text="*-">
      <formula>NOT(ISERROR(SEARCH(("*-"),(J7))))</formula>
    </cfRule>
  </conditionalFormatting>
  <conditionalFormatting sqref="J7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52" priority="103" operator="containsText" text="*-">
      <formula>NOT(ISERROR(SEARCH(("*-"),(I12))))</formula>
    </cfRule>
  </conditionalFormatting>
  <conditionalFormatting sqref="I12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51" priority="101" operator="containsText" text="*-">
      <formula>NOT(ISERROR(SEARCH(("*-"),(J12))))</formula>
    </cfRule>
  </conditionalFormatting>
  <conditionalFormatting sqref="J12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50" priority="99" operator="containsText" text="*-">
      <formula>NOT(ISERROR(SEARCH(("*-"),(J12))))</formula>
    </cfRule>
  </conditionalFormatting>
  <conditionalFormatting sqref="J12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L3 K4:K6 L4:L14">
    <cfRule type="containsText" dxfId="149" priority="97" operator="containsText" text="*-">
      <formula>NOT(ISERROR(SEARCH(("*-"),(K3))))</formula>
    </cfRule>
  </conditionalFormatting>
  <conditionalFormatting sqref="K3:L3 K4:K6 L4:L14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48" priority="95" operator="containsText" text="*-">
      <formula>NOT(ISERROR(SEARCH(("*-"),(K7))))</formula>
    </cfRule>
  </conditionalFormatting>
  <conditionalFormatting sqref="K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 K10">
    <cfRule type="containsText" dxfId="147" priority="93" operator="containsText" text="*-">
      <formula>NOT(ISERROR(SEARCH(("*-"),(K8))))</formula>
    </cfRule>
  </conditionalFormatting>
  <conditionalFormatting sqref="K10 K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 K11">
    <cfRule type="containsText" dxfId="146" priority="91" operator="containsText" text="*-">
      <formula>NOT(ISERROR(SEARCH(("*-"),(K9))))</formula>
    </cfRule>
  </conditionalFormatting>
  <conditionalFormatting sqref="K11 K9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:K11 K3:L3 K4:K6 L4:L14">
    <cfRule type="containsText" dxfId="145" priority="89" operator="containsText" text="*-">
      <formula>NOT(ISERROR(SEARCH(("*-"),(K3))))</formula>
    </cfRule>
  </conditionalFormatting>
  <conditionalFormatting sqref="K9:K11 K3:L3 K4:K6 L4:L14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144" priority="87" operator="containsText" text="*-">
      <formula>NOT(ISERROR(SEARCH(("*-"),(K8))))</formula>
    </cfRule>
  </conditionalFormatting>
  <conditionalFormatting sqref="K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43" priority="85" operator="containsText" text="*-">
      <formula>NOT(ISERROR(SEARCH(("*-"),(K7))))</formula>
    </cfRule>
  </conditionalFormatting>
  <conditionalFormatting sqref="K7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142" priority="79" operator="containsText" text="*-">
      <formula>NOT(ISERROR(SEARCH(("*-"),(K12))))</formula>
    </cfRule>
  </conditionalFormatting>
  <conditionalFormatting sqref="K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41" priority="15" operator="containsText" text="*-">
      <formula>NOT(ISERROR(SEARCH(("*-"),(I14))))</formula>
    </cfRule>
  </conditionalFormatting>
  <conditionalFormatting sqref="I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40" priority="13" operator="containsText" text="*-">
      <formula>NOT(ISERROR(SEARCH(("*-"),(I13))))</formula>
    </cfRule>
  </conditionalFormatting>
  <conditionalFormatting sqref="I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39" priority="11" operator="containsText" text="*-">
      <formula>NOT(ISERROR(SEARCH(("*-"),(J13))))</formula>
    </cfRule>
  </conditionalFormatting>
  <conditionalFormatting sqref="J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38" priority="9" operator="containsText" text="*-">
      <formula>NOT(ISERROR(SEARCH(("*-"),(J14))))</formula>
    </cfRule>
  </conditionalFormatting>
  <conditionalFormatting sqref="J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:J14">
    <cfRule type="containsText" dxfId="137" priority="7" operator="containsText" text="*-">
      <formula>NOT(ISERROR(SEARCH(("*-"),(J13))))</formula>
    </cfRule>
  </conditionalFormatting>
  <conditionalFormatting sqref="J13:J1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136" priority="5" operator="containsText" text="*-">
      <formula>NOT(ISERROR(SEARCH(("*-"),(K13))))</formula>
    </cfRule>
  </conditionalFormatting>
  <conditionalFormatting sqref="K1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135" priority="3" operator="containsText" text="*-">
      <formula>NOT(ISERROR(SEARCH(("*-"),(K14))))</formula>
    </cfRule>
  </conditionalFormatting>
  <conditionalFormatting sqref="K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:K14">
    <cfRule type="containsText" dxfId="134" priority="1" operator="containsText" text="*-">
      <formula>NOT(ISERROR(SEARCH(("*-"),(K13))))</formula>
    </cfRule>
  </conditionalFormatting>
  <conditionalFormatting sqref="K13:K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pane xSplit="13" ySplit="2" topLeftCell="N3" activePane="bottomRight" state="frozen"/>
      <selection pane="topRight" activeCell="H1" sqref="H1"/>
      <selection pane="bottomLeft" activeCell="A3" sqref="A3"/>
      <selection pane="bottomRight" activeCell="M3" sqref="M3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6" width="12.6328125" style="2" customWidth="1"/>
    <col min="7" max="8" width="12.6328125" customWidth="1"/>
    <col min="9" max="10" width="3.6328125" style="2" customWidth="1"/>
    <col min="11" max="12" width="3.6328125" customWidth="1"/>
    <col min="13" max="13" width="12.6328125" style="2" customWidth="1"/>
  </cols>
  <sheetData>
    <row r="1" spans="1:13" ht="15" customHeight="1" x14ac:dyDescent="0.35">
      <c r="A1" s="42" t="s">
        <v>1</v>
      </c>
      <c r="B1" s="24"/>
      <c r="C1" s="29" t="s">
        <v>2</v>
      </c>
      <c r="D1" s="44"/>
      <c r="E1" s="31" t="s">
        <v>3</v>
      </c>
      <c r="F1" s="32"/>
      <c r="G1" s="33"/>
      <c r="H1" s="34"/>
      <c r="I1" s="35" t="s">
        <v>7</v>
      </c>
      <c r="J1" s="36"/>
      <c r="K1" s="37"/>
      <c r="L1" s="38"/>
      <c r="M1" s="1"/>
    </row>
    <row r="2" spans="1:13" ht="15" customHeight="1" x14ac:dyDescent="0.35">
      <c r="A2" s="43"/>
      <c r="B2" s="24" t="s">
        <v>44</v>
      </c>
      <c r="C2" s="3" t="s">
        <v>45</v>
      </c>
      <c r="D2" s="3" t="s">
        <v>47</v>
      </c>
      <c r="E2" s="5" t="s">
        <v>48</v>
      </c>
      <c r="F2" s="5" t="s">
        <v>49</v>
      </c>
      <c r="G2" s="5" t="s">
        <v>41</v>
      </c>
      <c r="H2" s="5" t="s">
        <v>50</v>
      </c>
      <c r="I2" s="3" t="s">
        <v>48</v>
      </c>
      <c r="J2" s="3" t="s">
        <v>49</v>
      </c>
      <c r="K2" s="16" t="s">
        <v>41</v>
      </c>
      <c r="L2" s="16" t="s">
        <v>50</v>
      </c>
      <c r="M2" s="1"/>
    </row>
    <row r="3" spans="1:13" ht="15" customHeight="1" x14ac:dyDescent="0.35">
      <c r="A3" s="6">
        <v>2014</v>
      </c>
      <c r="B3" s="7" t="s">
        <v>38</v>
      </c>
      <c r="C3" s="21" t="s">
        <v>35</v>
      </c>
      <c r="D3" s="22" t="s">
        <v>36</v>
      </c>
      <c r="E3" s="9" t="s">
        <v>30</v>
      </c>
      <c r="F3" s="4" t="s">
        <v>0</v>
      </c>
      <c r="G3" s="4" t="s">
        <v>0</v>
      </c>
      <c r="H3" s="4" t="s">
        <v>0</v>
      </c>
      <c r="I3" s="17">
        <v>0</v>
      </c>
      <c r="J3" s="17" t="s">
        <v>0</v>
      </c>
      <c r="K3" s="17" t="s">
        <v>0</v>
      </c>
      <c r="L3" s="17" t="s">
        <v>0</v>
      </c>
      <c r="M3" s="23" t="str">
        <f>IF(OR(AND(I3&gt;1,I3&lt;&gt;"-"),AND(J3&gt;1,J3&lt;&gt;"-"),AND(K3&gt;1,K3&lt;&gt;"-"),AND(L3&gt;1,L3&lt;&gt;"-")),"Can exchange","")</f>
        <v/>
      </c>
    </row>
    <row r="4" spans="1:13" ht="15" customHeight="1" x14ac:dyDescent="0.35">
      <c r="A4" s="6">
        <v>2015</v>
      </c>
      <c r="B4" s="7" t="s">
        <v>38</v>
      </c>
      <c r="C4" s="21" t="s">
        <v>35</v>
      </c>
      <c r="D4" s="22" t="s">
        <v>36</v>
      </c>
      <c r="E4" s="4" t="s">
        <v>0</v>
      </c>
      <c r="F4" s="20" t="s">
        <v>26</v>
      </c>
      <c r="G4" s="4" t="s">
        <v>0</v>
      </c>
      <c r="H4" s="4" t="s">
        <v>0</v>
      </c>
      <c r="I4" s="17" t="s">
        <v>0</v>
      </c>
      <c r="J4" s="17" t="s">
        <v>0</v>
      </c>
      <c r="K4" s="17" t="s">
        <v>0</v>
      </c>
      <c r="L4" s="17" t="s">
        <v>0</v>
      </c>
      <c r="M4" s="23" t="str">
        <f t="shared" ref="M4:M14" si="0">IF(OR(AND(I4&gt;1,I4&lt;&gt;"-"),AND(J4&gt;1,J4&lt;&gt;"-"),AND(K4&gt;1,K4&lt;&gt;"-"),AND(L4&gt;1,L4&lt;&gt;"-")),"Can exchange","")</f>
        <v/>
      </c>
    </row>
    <row r="5" spans="1:13" ht="15" customHeight="1" x14ac:dyDescent="0.35">
      <c r="A5" s="6">
        <v>2016</v>
      </c>
      <c r="B5" s="7" t="s">
        <v>38</v>
      </c>
      <c r="C5" s="21" t="s">
        <v>35</v>
      </c>
      <c r="D5" s="22" t="s">
        <v>36</v>
      </c>
      <c r="E5" s="4" t="s">
        <v>0</v>
      </c>
      <c r="F5" s="20" t="s">
        <v>27</v>
      </c>
      <c r="G5" s="4" t="s">
        <v>0</v>
      </c>
      <c r="H5" s="4" t="s">
        <v>0</v>
      </c>
      <c r="I5" s="17" t="s">
        <v>0</v>
      </c>
      <c r="J5" s="17" t="s">
        <v>0</v>
      </c>
      <c r="K5" s="17" t="s">
        <v>0</v>
      </c>
      <c r="L5" s="17" t="s">
        <v>0</v>
      </c>
      <c r="M5" s="23" t="str">
        <f t="shared" si="0"/>
        <v/>
      </c>
    </row>
    <row r="6" spans="1:13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17" t="s">
        <v>0</v>
      </c>
      <c r="J6" s="17" t="s">
        <v>0</v>
      </c>
      <c r="K6" s="17" t="s">
        <v>0</v>
      </c>
      <c r="L6" s="17" t="s">
        <v>0</v>
      </c>
      <c r="M6" s="23" t="str">
        <f t="shared" si="0"/>
        <v/>
      </c>
    </row>
    <row r="7" spans="1:13" ht="15" customHeight="1" x14ac:dyDescent="0.35">
      <c r="A7" s="6">
        <v>2018</v>
      </c>
      <c r="B7" s="7" t="s">
        <v>38</v>
      </c>
      <c r="C7" s="21" t="s">
        <v>35</v>
      </c>
      <c r="D7" s="22" t="s">
        <v>36</v>
      </c>
      <c r="E7" s="4" t="s">
        <v>0</v>
      </c>
      <c r="F7" s="20" t="s">
        <v>40</v>
      </c>
      <c r="G7" s="4" t="s">
        <v>0</v>
      </c>
      <c r="H7" s="4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23" t="str">
        <f t="shared" si="0"/>
        <v/>
      </c>
    </row>
    <row r="8" spans="1:13" ht="15" customHeight="1" x14ac:dyDescent="0.35">
      <c r="A8" s="6">
        <v>2019</v>
      </c>
      <c r="B8" s="7" t="s">
        <v>38</v>
      </c>
      <c r="C8" s="21" t="s">
        <v>35</v>
      </c>
      <c r="D8" s="22" t="s">
        <v>36</v>
      </c>
      <c r="E8" s="4" t="s">
        <v>0</v>
      </c>
      <c r="F8" s="4" t="s">
        <v>0</v>
      </c>
      <c r="G8" s="4" t="s">
        <v>0</v>
      </c>
      <c r="H8" s="20" t="s">
        <v>40</v>
      </c>
      <c r="I8" s="17" t="s">
        <v>0</v>
      </c>
      <c r="J8" s="17" t="s">
        <v>0</v>
      </c>
      <c r="K8" s="17" t="s">
        <v>0</v>
      </c>
      <c r="L8" s="17" t="s">
        <v>0</v>
      </c>
      <c r="M8" s="23" t="str">
        <f t="shared" si="0"/>
        <v/>
      </c>
    </row>
    <row r="9" spans="1:13" ht="15" customHeight="1" x14ac:dyDescent="0.35">
      <c r="A9" s="6">
        <v>2020</v>
      </c>
      <c r="B9" s="7" t="s">
        <v>38</v>
      </c>
      <c r="C9" s="21" t="s">
        <v>35</v>
      </c>
      <c r="D9" s="22" t="s">
        <v>36</v>
      </c>
      <c r="E9" s="4" t="s">
        <v>0</v>
      </c>
      <c r="F9" s="4" t="s">
        <v>0</v>
      </c>
      <c r="G9" s="4" t="s">
        <v>0</v>
      </c>
      <c r="H9" s="20" t="s">
        <v>40</v>
      </c>
      <c r="I9" s="17" t="s">
        <v>0</v>
      </c>
      <c r="J9" s="17" t="s">
        <v>0</v>
      </c>
      <c r="K9" s="17" t="s">
        <v>0</v>
      </c>
      <c r="L9" s="17" t="s">
        <v>0</v>
      </c>
      <c r="M9" s="23" t="str">
        <f t="shared" si="0"/>
        <v/>
      </c>
    </row>
    <row r="10" spans="1:13" ht="15" customHeight="1" x14ac:dyDescent="0.35">
      <c r="A10" s="6">
        <v>2021</v>
      </c>
      <c r="B10" s="7" t="s">
        <v>38</v>
      </c>
      <c r="C10" s="21" t="s">
        <v>35</v>
      </c>
      <c r="D10" s="22" t="s">
        <v>36</v>
      </c>
      <c r="E10" s="4" t="s">
        <v>0</v>
      </c>
      <c r="F10" s="20" t="s">
        <v>40</v>
      </c>
      <c r="G10" s="4" t="s">
        <v>0</v>
      </c>
      <c r="H10" s="4" t="s">
        <v>0</v>
      </c>
      <c r="I10" s="17" t="s">
        <v>0</v>
      </c>
      <c r="J10" s="17" t="s">
        <v>0</v>
      </c>
      <c r="K10" s="17" t="s">
        <v>0</v>
      </c>
      <c r="L10" s="17" t="s">
        <v>0</v>
      </c>
      <c r="M10" s="23" t="str">
        <f t="shared" si="0"/>
        <v/>
      </c>
    </row>
    <row r="11" spans="1:13" ht="15" customHeight="1" x14ac:dyDescent="0.35">
      <c r="A11" s="6">
        <v>2022</v>
      </c>
      <c r="B11" s="7" t="s">
        <v>38</v>
      </c>
      <c r="C11" s="21" t="s">
        <v>35</v>
      </c>
      <c r="D11" s="22" t="s">
        <v>36</v>
      </c>
      <c r="E11" s="4" t="s">
        <v>0</v>
      </c>
      <c r="F11" s="4" t="s">
        <v>0</v>
      </c>
      <c r="G11" s="20" t="s">
        <v>40</v>
      </c>
      <c r="H11" s="4" t="s">
        <v>0</v>
      </c>
      <c r="I11" s="17" t="s">
        <v>0</v>
      </c>
      <c r="J11" s="17" t="s">
        <v>0</v>
      </c>
      <c r="K11" s="17" t="s">
        <v>0</v>
      </c>
      <c r="L11" s="17" t="s">
        <v>0</v>
      </c>
      <c r="M11" s="23" t="str">
        <f t="shared" si="0"/>
        <v/>
      </c>
    </row>
    <row r="12" spans="1:13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7" t="s">
        <v>0</v>
      </c>
      <c r="J12" s="17" t="s">
        <v>0</v>
      </c>
      <c r="K12" s="17" t="s">
        <v>0</v>
      </c>
      <c r="L12" s="17" t="s">
        <v>0</v>
      </c>
      <c r="M12" s="23" t="str">
        <f t="shared" si="0"/>
        <v/>
      </c>
    </row>
    <row r="13" spans="1:13" ht="15" customHeight="1" x14ac:dyDescent="0.35">
      <c r="A13" s="6">
        <v>2024</v>
      </c>
      <c r="B13" s="7" t="s">
        <v>38</v>
      </c>
      <c r="C13" s="21" t="s">
        <v>35</v>
      </c>
      <c r="D13" s="22" t="s">
        <v>36</v>
      </c>
      <c r="E13" s="4" t="s">
        <v>0</v>
      </c>
      <c r="F13" s="4" t="s">
        <v>0</v>
      </c>
      <c r="G13" s="4" t="s">
        <v>0</v>
      </c>
      <c r="H13" s="20" t="s">
        <v>51</v>
      </c>
      <c r="I13" s="17" t="s">
        <v>0</v>
      </c>
      <c r="J13" s="17" t="s">
        <v>0</v>
      </c>
      <c r="K13" s="17" t="s">
        <v>0</v>
      </c>
      <c r="L13" s="17" t="s">
        <v>0</v>
      </c>
      <c r="M13" s="23" t="str">
        <f t="shared" si="0"/>
        <v/>
      </c>
    </row>
    <row r="14" spans="1:13" ht="15" customHeight="1" x14ac:dyDescent="0.35">
      <c r="A14" s="6">
        <v>2025</v>
      </c>
      <c r="B14" s="7" t="s">
        <v>38</v>
      </c>
      <c r="C14" s="21" t="s">
        <v>35</v>
      </c>
      <c r="D14" s="22" t="s">
        <v>36</v>
      </c>
      <c r="E14" s="4" t="s">
        <v>0</v>
      </c>
      <c r="F14" s="4" t="s">
        <v>0</v>
      </c>
      <c r="G14" s="20" t="s">
        <v>51</v>
      </c>
      <c r="H14" s="4" t="s">
        <v>0</v>
      </c>
      <c r="I14" s="17" t="s">
        <v>0</v>
      </c>
      <c r="J14" s="17" t="s">
        <v>0</v>
      </c>
      <c r="K14" s="17" t="s">
        <v>0</v>
      </c>
      <c r="L14" s="17" t="s">
        <v>0</v>
      </c>
      <c r="M14" s="23" t="str">
        <f t="shared" si="0"/>
        <v/>
      </c>
    </row>
  </sheetData>
  <autoFilter ref="B2:H2" xr:uid="{00000000-0001-0000-0300-000000000000}"/>
  <mergeCells count="4">
    <mergeCell ref="A1:A2"/>
    <mergeCell ref="C1:D1"/>
    <mergeCell ref="E1:H1"/>
    <mergeCell ref="I1:L1"/>
  </mergeCells>
  <phoneticPr fontId="7" type="noConversion"/>
  <conditionalFormatting sqref="I3:I6">
    <cfRule type="containsText" dxfId="133" priority="115" operator="containsText" text="*-">
      <formula>NOT(ISERROR(SEARCH(("*-"),(I3))))</formula>
    </cfRule>
  </conditionalFormatting>
  <conditionalFormatting sqref="I3:I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 I10:I11">
    <cfRule type="containsText" dxfId="132" priority="113" operator="containsText" text="*-">
      <formula>NOT(ISERROR(SEARCH(("*-"),(I7))))</formula>
    </cfRule>
  </conditionalFormatting>
  <conditionalFormatting sqref="I10:I11 I7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31" priority="111" operator="containsText" text="*-">
      <formula>NOT(ISERROR(SEARCH(("*-"),(I8))))</formula>
    </cfRule>
  </conditionalFormatting>
  <conditionalFormatting sqref="I8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">
    <cfRule type="containsText" dxfId="130" priority="109" operator="containsText" text="*-">
      <formula>NOT(ISERROR(SEARCH(("*-"),(I9))))</formula>
    </cfRule>
  </conditionalFormatting>
  <conditionalFormatting sqref="I9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L3 K4:K6 L4:L14">
    <cfRule type="containsText" dxfId="129" priority="107" operator="containsText" text="*-">
      <formula>NOT(ISERROR(SEARCH(("*-"),(K3))))</formula>
    </cfRule>
  </conditionalFormatting>
  <conditionalFormatting sqref="K3:L3 K4:K6 L4:L14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28" priority="105" operator="containsText" text="*-">
      <formula>NOT(ISERROR(SEARCH(("*-"),(K7))))</formula>
    </cfRule>
  </conditionalFormatting>
  <conditionalFormatting sqref="K7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 K10">
    <cfRule type="containsText" dxfId="127" priority="103" operator="containsText" text="*-">
      <formula>NOT(ISERROR(SEARCH(("*-"),(K8))))</formula>
    </cfRule>
  </conditionalFormatting>
  <conditionalFormatting sqref="K10 K8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 K11">
    <cfRule type="containsText" dxfId="126" priority="101" operator="containsText" text="*-">
      <formula>NOT(ISERROR(SEARCH(("*-"),(K9))))</formula>
    </cfRule>
  </conditionalFormatting>
  <conditionalFormatting sqref="K11 K9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:K11 K3:L3 K4:K6 L4:L14">
    <cfRule type="containsText" dxfId="125" priority="99" operator="containsText" text="*-">
      <formula>NOT(ISERROR(SEARCH(("*-"),(K3))))</formula>
    </cfRule>
  </conditionalFormatting>
  <conditionalFormatting sqref="K9:K11 K3:L3 K4:K6 L4:L14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124" priority="97" operator="containsText" text="*-">
      <formula>NOT(ISERROR(SEARCH(("*-"),(K8))))</formula>
    </cfRule>
  </conditionalFormatting>
  <conditionalFormatting sqref="K8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23" priority="95" operator="containsText" text="*-">
      <formula>NOT(ISERROR(SEARCH(("*-"),(K7))))</formula>
    </cfRule>
  </conditionalFormatting>
  <conditionalFormatting sqref="K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22" priority="93" operator="containsText" text="*-">
      <formula>NOT(ISERROR(SEARCH(("*-"),(I12))))</formula>
    </cfRule>
  </conditionalFormatting>
  <conditionalFormatting sqref="I12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121" priority="91" operator="containsText" text="*-">
      <formula>NOT(ISERROR(SEARCH(("*-"),(K12))))</formula>
    </cfRule>
  </conditionalFormatting>
  <conditionalFormatting sqref="K12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120" priority="89" operator="containsText" text="*-">
      <formula>NOT(ISERROR(SEARCH(("*-"),(K12))))</formula>
    </cfRule>
  </conditionalFormatting>
  <conditionalFormatting sqref="K12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">
    <cfRule type="containsText" dxfId="119" priority="25" operator="containsText" text="*-">
      <formula>NOT(ISERROR(SEARCH(("*-"),(J3))))</formula>
    </cfRule>
  </conditionalFormatting>
  <conditionalFormatting sqref="J3:J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 J10:J11">
    <cfRule type="containsText" dxfId="118" priority="23" operator="containsText" text="*-">
      <formula>NOT(ISERROR(SEARCH(("*-"),(J7))))</formula>
    </cfRule>
  </conditionalFormatting>
  <conditionalFormatting sqref="J10:J11 J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117" priority="21" operator="containsText" text="*-">
      <formula>NOT(ISERROR(SEARCH(("*-"),(J8))))</formula>
    </cfRule>
  </conditionalFormatting>
  <conditionalFormatting sqref="J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">
    <cfRule type="containsText" dxfId="116" priority="19" operator="containsText" text="*-">
      <formula>NOT(ISERROR(SEARCH(("*-"),(J9))))</formula>
    </cfRule>
  </conditionalFormatting>
  <conditionalFormatting sqref="J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15" priority="17" operator="containsText" text="*-">
      <formula>NOT(ISERROR(SEARCH(("*-"),(J12))))</formula>
    </cfRule>
  </conditionalFormatting>
  <conditionalFormatting sqref="J1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14" priority="15" operator="containsText" text="*-">
      <formula>NOT(ISERROR(SEARCH(("*-"),(I13))))</formula>
    </cfRule>
  </conditionalFormatting>
  <conditionalFormatting sqref="I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113" priority="13" operator="containsText" text="*-">
      <formula>NOT(ISERROR(SEARCH(("*-"),(K13))))</formula>
    </cfRule>
  </conditionalFormatting>
  <conditionalFormatting sqref="K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112" priority="11" operator="containsText" text="*-">
      <formula>NOT(ISERROR(SEARCH(("*-"),(K13))))</formula>
    </cfRule>
  </conditionalFormatting>
  <conditionalFormatting sqref="K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11" priority="9" operator="containsText" text="*-">
      <formula>NOT(ISERROR(SEARCH(("*-"),(I14))))</formula>
    </cfRule>
  </conditionalFormatting>
  <conditionalFormatting sqref="I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110" priority="7" operator="containsText" text="*-">
      <formula>NOT(ISERROR(SEARCH(("*-"),(K14))))</formula>
    </cfRule>
  </conditionalFormatting>
  <conditionalFormatting sqref="K1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109" priority="5" operator="containsText" text="*-">
      <formula>NOT(ISERROR(SEARCH(("*-"),(K14))))</formula>
    </cfRule>
  </conditionalFormatting>
  <conditionalFormatting sqref="K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108" priority="3" operator="containsText" text="*-">
      <formula>NOT(ISERROR(SEARCH(("*-"),(J13))))</formula>
    </cfRule>
  </conditionalFormatting>
  <conditionalFormatting sqref="J1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107" priority="1" operator="containsText" text="*-">
      <formula>NOT(ISERROR(SEARCH(("*-"),(J14))))</formula>
    </cfRule>
  </conditionalFormatting>
  <conditionalFormatting sqref="J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J2" sqref="J2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5" width="12.6328125" style="2" customWidth="1"/>
    <col min="6" max="7" width="12.6328125" customWidth="1"/>
    <col min="8" max="8" width="3.6328125" style="2" customWidth="1"/>
    <col min="9" max="10" width="3.6328125" customWidth="1"/>
    <col min="11" max="11" width="12.6328125" style="2" customWidth="1"/>
  </cols>
  <sheetData>
    <row r="1" spans="1:11" ht="15" customHeight="1" x14ac:dyDescent="0.35">
      <c r="A1" s="27" t="s">
        <v>1</v>
      </c>
      <c r="B1" s="24"/>
      <c r="C1" s="29" t="s">
        <v>2</v>
      </c>
      <c r="D1" s="30"/>
      <c r="E1" s="31" t="s">
        <v>3</v>
      </c>
      <c r="F1" s="33"/>
      <c r="G1" s="34"/>
      <c r="H1" s="35" t="s">
        <v>8</v>
      </c>
      <c r="I1" s="37"/>
      <c r="J1" s="38"/>
      <c r="K1" s="1"/>
    </row>
    <row r="2" spans="1:11" ht="15" customHeight="1" x14ac:dyDescent="0.35">
      <c r="A2" s="28"/>
      <c r="B2" s="24" t="s">
        <v>44</v>
      </c>
      <c r="C2" s="3" t="s">
        <v>45</v>
      </c>
      <c r="D2" s="3" t="s">
        <v>47</v>
      </c>
      <c r="E2" s="5" t="s">
        <v>49</v>
      </c>
      <c r="F2" s="5" t="s">
        <v>41</v>
      </c>
      <c r="G2" s="5" t="s">
        <v>50</v>
      </c>
      <c r="H2" s="3" t="s">
        <v>49</v>
      </c>
      <c r="I2" s="16" t="s">
        <v>41</v>
      </c>
      <c r="J2" s="16" t="s">
        <v>50</v>
      </c>
      <c r="K2" s="1"/>
    </row>
    <row r="3" spans="1:11" ht="15" customHeight="1" x14ac:dyDescent="0.35">
      <c r="A3" s="6">
        <v>2014</v>
      </c>
      <c r="B3" s="7" t="s">
        <v>38</v>
      </c>
      <c r="C3" s="21" t="s">
        <v>35</v>
      </c>
      <c r="D3" s="22" t="s">
        <v>36</v>
      </c>
      <c r="E3" s="9" t="s">
        <v>31</v>
      </c>
      <c r="F3" s="4" t="s">
        <v>0</v>
      </c>
      <c r="G3" s="4" t="s">
        <v>0</v>
      </c>
      <c r="H3" s="17">
        <v>0</v>
      </c>
      <c r="I3" s="17" t="s">
        <v>0</v>
      </c>
      <c r="J3" s="17" t="s">
        <v>0</v>
      </c>
      <c r="K3" s="23" t="str">
        <f t="shared" ref="K3:K15" si="0">IF(OR(AND(H3&gt;1,H3&lt;&gt;"-"),AND(I3&gt;1,I3&lt;&gt;"-"),AND(J3&gt;1,J3&lt;&gt;"-")),"Can exchange","")</f>
        <v/>
      </c>
    </row>
    <row r="4" spans="1:11" ht="15" customHeight="1" x14ac:dyDescent="0.35">
      <c r="A4" s="6">
        <v>2015</v>
      </c>
      <c r="B4" s="7" t="s">
        <v>38</v>
      </c>
      <c r="C4" s="21" t="s">
        <v>35</v>
      </c>
      <c r="D4" s="22" t="s">
        <v>36</v>
      </c>
      <c r="E4" s="20" t="s">
        <v>26</v>
      </c>
      <c r="F4" s="4" t="s">
        <v>0</v>
      </c>
      <c r="G4" s="4" t="s">
        <v>0</v>
      </c>
      <c r="H4" s="17" t="s">
        <v>0</v>
      </c>
      <c r="I4" s="17" t="s">
        <v>0</v>
      </c>
      <c r="J4" s="17" t="s">
        <v>0</v>
      </c>
      <c r="K4" s="23" t="str">
        <f t="shared" si="0"/>
        <v/>
      </c>
    </row>
    <row r="5" spans="1:11" ht="15" customHeight="1" x14ac:dyDescent="0.35">
      <c r="A5" s="6">
        <v>2016</v>
      </c>
      <c r="B5" s="7" t="s">
        <v>38</v>
      </c>
      <c r="C5" s="21" t="s">
        <v>35</v>
      </c>
      <c r="D5" s="22" t="s">
        <v>36</v>
      </c>
      <c r="E5" s="20" t="s">
        <v>27</v>
      </c>
      <c r="F5" s="4" t="s">
        <v>0</v>
      </c>
      <c r="G5" s="4" t="s">
        <v>0</v>
      </c>
      <c r="H5" s="17" t="s">
        <v>0</v>
      </c>
      <c r="I5" s="17" t="s">
        <v>0</v>
      </c>
      <c r="J5" s="17" t="s">
        <v>0</v>
      </c>
      <c r="K5" s="23" t="str">
        <f t="shared" si="0"/>
        <v/>
      </c>
    </row>
    <row r="6" spans="1:11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17" t="s">
        <v>0</v>
      </c>
      <c r="I6" s="17" t="s">
        <v>0</v>
      </c>
      <c r="J6" s="17" t="s">
        <v>0</v>
      </c>
      <c r="K6" s="23" t="str">
        <f t="shared" si="0"/>
        <v/>
      </c>
    </row>
    <row r="7" spans="1:11" ht="15" customHeight="1" x14ac:dyDescent="0.35">
      <c r="A7" s="6">
        <v>2018</v>
      </c>
      <c r="B7" s="7" t="s">
        <v>38</v>
      </c>
      <c r="C7" s="21" t="s">
        <v>35</v>
      </c>
      <c r="D7" s="22" t="s">
        <v>36</v>
      </c>
      <c r="E7" s="20" t="s">
        <v>40</v>
      </c>
      <c r="F7" s="4" t="s">
        <v>0</v>
      </c>
      <c r="G7" s="4" t="s">
        <v>0</v>
      </c>
      <c r="H7" s="17" t="s">
        <v>0</v>
      </c>
      <c r="I7" s="17" t="s">
        <v>0</v>
      </c>
      <c r="J7" s="17" t="s">
        <v>0</v>
      </c>
      <c r="K7" s="23" t="str">
        <f t="shared" si="0"/>
        <v/>
      </c>
    </row>
    <row r="8" spans="1:11" ht="15" customHeight="1" x14ac:dyDescent="0.35">
      <c r="A8" s="6">
        <v>2019</v>
      </c>
      <c r="B8" s="7" t="s">
        <v>38</v>
      </c>
      <c r="C8" s="21" t="s">
        <v>35</v>
      </c>
      <c r="D8" s="22" t="s">
        <v>36</v>
      </c>
      <c r="E8" s="4" t="s">
        <v>0</v>
      </c>
      <c r="F8" s="4" t="s">
        <v>0</v>
      </c>
      <c r="G8" s="20" t="s">
        <v>40</v>
      </c>
      <c r="H8" s="17" t="s">
        <v>0</v>
      </c>
      <c r="I8" s="17" t="s">
        <v>0</v>
      </c>
      <c r="J8" s="17" t="s">
        <v>0</v>
      </c>
      <c r="K8" s="23" t="str">
        <f t="shared" si="0"/>
        <v/>
      </c>
    </row>
    <row r="9" spans="1:11" ht="15" customHeight="1" x14ac:dyDescent="0.35">
      <c r="A9" s="6">
        <v>2020</v>
      </c>
      <c r="B9" s="7" t="s">
        <v>38</v>
      </c>
      <c r="C9" s="21" t="s">
        <v>35</v>
      </c>
      <c r="D9" s="22" t="s">
        <v>36</v>
      </c>
      <c r="E9" s="4" t="s">
        <v>0</v>
      </c>
      <c r="F9" s="4" t="s">
        <v>0</v>
      </c>
      <c r="G9" s="20" t="s">
        <v>40</v>
      </c>
      <c r="H9" s="17" t="s">
        <v>0</v>
      </c>
      <c r="I9" s="17" t="s">
        <v>0</v>
      </c>
      <c r="J9" s="17" t="s">
        <v>0</v>
      </c>
      <c r="K9" s="23" t="str">
        <f t="shared" si="0"/>
        <v/>
      </c>
    </row>
    <row r="10" spans="1:11" ht="15" customHeight="1" x14ac:dyDescent="0.35">
      <c r="A10" s="6">
        <v>2021</v>
      </c>
      <c r="B10" s="7" t="s">
        <v>38</v>
      </c>
      <c r="C10" s="21" t="s">
        <v>35</v>
      </c>
      <c r="D10" s="22" t="s">
        <v>36</v>
      </c>
      <c r="E10" s="20" t="s">
        <v>40</v>
      </c>
      <c r="F10" s="4" t="s">
        <v>0</v>
      </c>
      <c r="G10" s="4" t="s">
        <v>0</v>
      </c>
      <c r="H10" s="17" t="s">
        <v>0</v>
      </c>
      <c r="I10" s="17" t="s">
        <v>0</v>
      </c>
      <c r="J10" s="17" t="s">
        <v>0</v>
      </c>
      <c r="K10" s="23" t="str">
        <f t="shared" si="0"/>
        <v/>
      </c>
    </row>
    <row r="11" spans="1:11" ht="15" customHeight="1" x14ac:dyDescent="0.35">
      <c r="A11" s="6">
        <v>2022</v>
      </c>
      <c r="B11" s="7" t="s">
        <v>38</v>
      </c>
      <c r="C11" s="21" t="s">
        <v>35</v>
      </c>
      <c r="D11" s="22" t="s">
        <v>36</v>
      </c>
      <c r="E11" s="4" t="s">
        <v>0</v>
      </c>
      <c r="F11" s="20" t="s">
        <v>40</v>
      </c>
      <c r="G11" s="4" t="s">
        <v>0</v>
      </c>
      <c r="H11" s="17" t="s">
        <v>0</v>
      </c>
      <c r="I11" s="17" t="s">
        <v>0</v>
      </c>
      <c r="J11" s="17" t="s">
        <v>0</v>
      </c>
      <c r="K11" s="23" t="str">
        <f t="shared" si="0"/>
        <v/>
      </c>
    </row>
    <row r="12" spans="1:11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7" t="s">
        <v>0</v>
      </c>
      <c r="I12" s="17" t="s">
        <v>0</v>
      </c>
      <c r="J12" s="17" t="s">
        <v>0</v>
      </c>
      <c r="K12" s="23" t="str">
        <f t="shared" si="0"/>
        <v/>
      </c>
    </row>
    <row r="13" spans="1:11" ht="15" customHeight="1" x14ac:dyDescent="0.35">
      <c r="A13" s="6">
        <v>2024</v>
      </c>
      <c r="B13" s="7" t="s">
        <v>38</v>
      </c>
      <c r="C13" s="21" t="s">
        <v>35</v>
      </c>
      <c r="D13" s="22" t="s">
        <v>36</v>
      </c>
      <c r="E13" s="4" t="s">
        <v>0</v>
      </c>
      <c r="F13" s="4" t="s">
        <v>0</v>
      </c>
      <c r="G13" s="20" t="s">
        <v>51</v>
      </c>
      <c r="H13" s="17" t="s">
        <v>0</v>
      </c>
      <c r="I13" s="17" t="s">
        <v>0</v>
      </c>
      <c r="J13" s="17" t="s">
        <v>0</v>
      </c>
      <c r="K13" s="23" t="str">
        <f t="shared" si="0"/>
        <v/>
      </c>
    </row>
    <row r="14" spans="1:11" ht="15" customHeight="1" x14ac:dyDescent="0.35">
      <c r="A14" s="6">
        <v>2025</v>
      </c>
      <c r="B14" s="7" t="s">
        <v>38</v>
      </c>
      <c r="C14" s="21" t="s">
        <v>35</v>
      </c>
      <c r="D14" s="22" t="s">
        <v>36</v>
      </c>
      <c r="E14" s="4" t="s">
        <v>0</v>
      </c>
      <c r="F14" s="20" t="s">
        <v>51</v>
      </c>
      <c r="G14" s="4" t="s">
        <v>0</v>
      </c>
      <c r="H14" s="17" t="s">
        <v>0</v>
      </c>
      <c r="I14" s="17" t="s">
        <v>0</v>
      </c>
      <c r="J14" s="17" t="s">
        <v>0</v>
      </c>
      <c r="K14" s="23" t="str">
        <f t="shared" si="0"/>
        <v/>
      </c>
    </row>
    <row r="15" spans="1:11" ht="15" customHeight="1" x14ac:dyDescent="0.35">
      <c r="K15" s="23" t="str">
        <f t="shared" si="0"/>
        <v/>
      </c>
    </row>
  </sheetData>
  <autoFilter ref="B2:G2" xr:uid="{00000000-0001-0000-0400-000000000000}"/>
  <mergeCells count="4">
    <mergeCell ref="A1:A2"/>
    <mergeCell ref="C1:D1"/>
    <mergeCell ref="H1:J1"/>
    <mergeCell ref="E1:G1"/>
  </mergeCells>
  <phoneticPr fontId="7" type="noConversion"/>
  <conditionalFormatting sqref="H3:H6">
    <cfRule type="containsText" dxfId="106" priority="103" operator="containsText" text="*-">
      <formula>NOT(ISERROR(SEARCH(("*-"),(H3))))</formula>
    </cfRule>
  </conditionalFormatting>
  <conditionalFormatting sqref="H3:H6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 H10:H11">
    <cfRule type="containsText" dxfId="105" priority="101" operator="containsText" text="*-">
      <formula>NOT(ISERROR(SEARCH(("*-"),(H7))))</formula>
    </cfRule>
  </conditionalFormatting>
  <conditionalFormatting sqref="H10:H11 H7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104" priority="99" operator="containsText" text="*-">
      <formula>NOT(ISERROR(SEARCH(("*-"),(H8))))</formula>
    </cfRule>
  </conditionalFormatting>
  <conditionalFormatting sqref="H8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103" priority="97" operator="containsText" text="*-">
      <formula>NOT(ISERROR(SEARCH(("*-"),(H9))))</formula>
    </cfRule>
  </conditionalFormatting>
  <conditionalFormatting sqref="H9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J3 I4:I6 J4:J12">
    <cfRule type="containsText" dxfId="102" priority="95" operator="containsText" text="*-">
      <formula>NOT(ISERROR(SEARCH(("*-"),(I3))))</formula>
    </cfRule>
  </conditionalFormatting>
  <conditionalFormatting sqref="I3:J3 I4:I6 J4:J12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01" priority="93" operator="containsText" text="*-">
      <formula>NOT(ISERROR(SEARCH(("*-"),(I7))))</formula>
    </cfRule>
  </conditionalFormatting>
  <conditionalFormatting sqref="I7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 I10">
    <cfRule type="containsText" dxfId="100" priority="91" operator="containsText" text="*-">
      <formula>NOT(ISERROR(SEARCH(("*-"),(I8))))</formula>
    </cfRule>
  </conditionalFormatting>
  <conditionalFormatting sqref="I10 I8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 I11">
    <cfRule type="containsText" dxfId="99" priority="89" operator="containsText" text="*-">
      <formula>NOT(ISERROR(SEARCH(("*-"),(I9))))</formula>
    </cfRule>
  </conditionalFormatting>
  <conditionalFormatting sqref="I11 I9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:I11 I3:J3 I4:I6 J4:J12">
    <cfRule type="containsText" dxfId="98" priority="87" operator="containsText" text="*-">
      <formula>NOT(ISERROR(SEARCH(("*-"),(I3))))</formula>
    </cfRule>
  </conditionalFormatting>
  <conditionalFormatting sqref="I9:I11 I3:J3 I4:I6 J4:J12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97" priority="85" operator="containsText" text="*-">
      <formula>NOT(ISERROR(SEARCH(("*-"),(I8))))</formula>
    </cfRule>
  </conditionalFormatting>
  <conditionalFormatting sqref="I8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96" priority="83" operator="containsText" text="*-">
      <formula>NOT(ISERROR(SEARCH(("*-"),(I7))))</formula>
    </cfRule>
  </conditionalFormatting>
  <conditionalFormatting sqref="I7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95" priority="81" operator="containsText" text="*-">
      <formula>NOT(ISERROR(SEARCH(("*-"),(H12))))</formula>
    </cfRule>
  </conditionalFormatting>
  <conditionalFormatting sqref="H12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94" priority="79" operator="containsText" text="*-">
      <formula>NOT(ISERROR(SEARCH(("*-"),(I12))))</formula>
    </cfRule>
  </conditionalFormatting>
  <conditionalFormatting sqref="I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93" priority="77" operator="containsText" text="*-">
      <formula>NOT(ISERROR(SEARCH(("*-"),(I12))))</formula>
    </cfRule>
  </conditionalFormatting>
  <conditionalFormatting sqref="I12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92" priority="13" operator="containsText" text="*-">
      <formula>NOT(ISERROR(SEARCH(("*-"),(H13))))</formula>
    </cfRule>
  </conditionalFormatting>
  <conditionalFormatting sqref="H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:J14">
    <cfRule type="containsText" dxfId="91" priority="11" operator="containsText" text="*-">
      <formula>NOT(ISERROR(SEARCH(("*-"),(J13))))</formula>
    </cfRule>
  </conditionalFormatting>
  <conditionalFormatting sqref="J13:J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90" priority="9" operator="containsText" text="*-">
      <formula>NOT(ISERROR(SEARCH(("*-"),(I13))))</formula>
    </cfRule>
  </conditionalFormatting>
  <conditionalFormatting sqref="I1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 J13:J14">
    <cfRule type="containsText" dxfId="89" priority="7" operator="containsText" text="*-">
      <formula>NOT(ISERROR(SEARCH(("*-"),(I13))))</formula>
    </cfRule>
  </conditionalFormatting>
  <conditionalFormatting sqref="J13:J14 I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88" priority="5" operator="containsText" text="*-">
      <formula>NOT(ISERROR(SEARCH(("*-"),(H14))))</formula>
    </cfRule>
  </conditionalFormatting>
  <conditionalFormatting sqref="H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87" priority="3" operator="containsText" text="*-">
      <formula>NOT(ISERROR(SEARCH(("*-"),(I14))))</formula>
    </cfRule>
  </conditionalFormatting>
  <conditionalFormatting sqref="I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86" priority="1" operator="containsText" text="*-">
      <formula>NOT(ISERROR(SEARCH(("*-"),(I14))))</formula>
    </cfRule>
  </conditionalFormatting>
  <conditionalFormatting sqref="I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J2" sqref="J2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5" width="12.6328125" style="2" customWidth="1"/>
    <col min="6" max="7" width="12.6328125" customWidth="1"/>
    <col min="8" max="8" width="3.6328125" style="2" customWidth="1"/>
    <col min="9" max="10" width="3.6328125" customWidth="1"/>
    <col min="11" max="11" width="12.6328125" style="2" customWidth="1"/>
  </cols>
  <sheetData>
    <row r="1" spans="1:11" ht="15" customHeight="1" x14ac:dyDescent="0.35">
      <c r="A1" s="27" t="s">
        <v>1</v>
      </c>
      <c r="B1" s="24"/>
      <c r="C1" s="29" t="s">
        <v>2</v>
      </c>
      <c r="D1" s="30"/>
      <c r="E1" s="31" t="s">
        <v>3</v>
      </c>
      <c r="F1" s="33"/>
      <c r="G1" s="34"/>
      <c r="H1" s="35" t="s">
        <v>9</v>
      </c>
      <c r="I1" s="37"/>
      <c r="J1" s="38"/>
      <c r="K1" s="1"/>
    </row>
    <row r="2" spans="1:11" ht="15" customHeight="1" x14ac:dyDescent="0.35">
      <c r="A2" s="28"/>
      <c r="B2" s="25" t="s">
        <v>44</v>
      </c>
      <c r="C2" s="3" t="s">
        <v>45</v>
      </c>
      <c r="D2" s="3" t="s">
        <v>47</v>
      </c>
      <c r="E2" s="5" t="s">
        <v>49</v>
      </c>
      <c r="F2" s="5" t="s">
        <v>41</v>
      </c>
      <c r="G2" s="5" t="s">
        <v>50</v>
      </c>
      <c r="H2" s="3" t="s">
        <v>49</v>
      </c>
      <c r="I2" s="16" t="s">
        <v>41</v>
      </c>
      <c r="J2" s="16" t="s">
        <v>50</v>
      </c>
      <c r="K2" s="1"/>
    </row>
    <row r="3" spans="1:11" ht="15" customHeight="1" x14ac:dyDescent="0.35">
      <c r="A3" s="6">
        <v>2014</v>
      </c>
      <c r="B3" s="7" t="s">
        <v>38</v>
      </c>
      <c r="C3" s="21" t="s">
        <v>35</v>
      </c>
      <c r="D3" s="22" t="s">
        <v>36</v>
      </c>
      <c r="E3" s="9" t="s">
        <v>32</v>
      </c>
      <c r="F3" s="4" t="s">
        <v>0</v>
      </c>
      <c r="G3" s="4" t="s">
        <v>0</v>
      </c>
      <c r="H3" s="17">
        <v>0</v>
      </c>
      <c r="I3" s="17" t="s">
        <v>0</v>
      </c>
      <c r="J3" s="17" t="s">
        <v>0</v>
      </c>
      <c r="K3" s="23" t="str">
        <f>IF(OR(AND(H3&gt;1,H3&lt;&gt;"-"),AND(I3&gt;1,I3&lt;&gt;"-")),"Can exchange","")</f>
        <v/>
      </c>
    </row>
    <row r="4" spans="1:11" ht="15" customHeight="1" x14ac:dyDescent="0.35">
      <c r="A4" s="6">
        <v>2015</v>
      </c>
      <c r="B4" s="7" t="s">
        <v>38</v>
      </c>
      <c r="C4" s="21" t="s">
        <v>35</v>
      </c>
      <c r="D4" s="22" t="s">
        <v>36</v>
      </c>
      <c r="E4" s="20" t="s">
        <v>26</v>
      </c>
      <c r="F4" s="4" t="s">
        <v>0</v>
      </c>
      <c r="G4" s="4" t="s">
        <v>0</v>
      </c>
      <c r="H4" s="17" t="s">
        <v>0</v>
      </c>
      <c r="I4" s="17" t="s">
        <v>0</v>
      </c>
      <c r="J4" s="17" t="s">
        <v>0</v>
      </c>
      <c r="K4" s="23" t="str">
        <f t="shared" ref="K4:K11" si="0">IF(OR(AND(H4&gt;1,H4&lt;&gt;"-"),AND(I4&gt;1,I4&lt;&gt;"-")),"Can exchange","")</f>
        <v/>
      </c>
    </row>
    <row r="5" spans="1:11" ht="15" customHeight="1" x14ac:dyDescent="0.35">
      <c r="A5" s="6">
        <v>2016</v>
      </c>
      <c r="B5" s="7" t="s">
        <v>38</v>
      </c>
      <c r="C5" s="21" t="s">
        <v>35</v>
      </c>
      <c r="D5" s="22" t="s">
        <v>36</v>
      </c>
      <c r="E5" s="20" t="s">
        <v>27</v>
      </c>
      <c r="F5" s="4" t="s">
        <v>0</v>
      </c>
      <c r="G5" s="4" t="s">
        <v>0</v>
      </c>
      <c r="H5" s="17" t="s">
        <v>0</v>
      </c>
      <c r="I5" s="17" t="s">
        <v>0</v>
      </c>
      <c r="J5" s="17" t="s">
        <v>0</v>
      </c>
      <c r="K5" s="23" t="str">
        <f t="shared" si="0"/>
        <v/>
      </c>
    </row>
    <row r="6" spans="1:11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17" t="s">
        <v>0</v>
      </c>
      <c r="I6" s="17" t="s">
        <v>0</v>
      </c>
      <c r="J6" s="17" t="s">
        <v>0</v>
      </c>
      <c r="K6" s="23" t="str">
        <f t="shared" si="0"/>
        <v/>
      </c>
    </row>
    <row r="7" spans="1:11" ht="15" customHeight="1" x14ac:dyDescent="0.35">
      <c r="A7" s="6">
        <v>2018</v>
      </c>
      <c r="B7" s="7" t="s">
        <v>38</v>
      </c>
      <c r="C7" s="21" t="s">
        <v>35</v>
      </c>
      <c r="D7" s="22" t="s">
        <v>36</v>
      </c>
      <c r="E7" s="20" t="s">
        <v>40</v>
      </c>
      <c r="F7" s="4" t="s">
        <v>0</v>
      </c>
      <c r="G7" s="4" t="s">
        <v>0</v>
      </c>
      <c r="H7" s="17" t="s">
        <v>0</v>
      </c>
      <c r="I7" s="17" t="s">
        <v>0</v>
      </c>
      <c r="J7" s="17" t="s">
        <v>0</v>
      </c>
      <c r="K7" s="23" t="str">
        <f t="shared" si="0"/>
        <v/>
      </c>
    </row>
    <row r="8" spans="1:11" ht="15" customHeight="1" x14ac:dyDescent="0.35">
      <c r="A8" s="6">
        <v>2019</v>
      </c>
      <c r="B8" s="7" t="s">
        <v>38</v>
      </c>
      <c r="C8" s="21" t="s">
        <v>35</v>
      </c>
      <c r="D8" s="22" t="s">
        <v>36</v>
      </c>
      <c r="E8" s="4" t="s">
        <v>0</v>
      </c>
      <c r="F8" s="4" t="s">
        <v>0</v>
      </c>
      <c r="G8" s="20" t="s">
        <v>40</v>
      </c>
      <c r="H8" s="17" t="s">
        <v>0</v>
      </c>
      <c r="I8" s="17" t="s">
        <v>0</v>
      </c>
      <c r="J8" s="17" t="s">
        <v>0</v>
      </c>
      <c r="K8" s="23" t="str">
        <f t="shared" si="0"/>
        <v/>
      </c>
    </row>
    <row r="9" spans="1:11" ht="15" customHeight="1" x14ac:dyDescent="0.35">
      <c r="A9" s="6">
        <v>2020</v>
      </c>
      <c r="B9" s="7" t="s">
        <v>38</v>
      </c>
      <c r="C9" s="21" t="s">
        <v>35</v>
      </c>
      <c r="D9" s="22" t="s">
        <v>36</v>
      </c>
      <c r="E9" s="4" t="s">
        <v>0</v>
      </c>
      <c r="F9" s="4" t="s">
        <v>0</v>
      </c>
      <c r="G9" s="20" t="s">
        <v>40</v>
      </c>
      <c r="H9" s="17" t="s">
        <v>0</v>
      </c>
      <c r="I9" s="17" t="s">
        <v>0</v>
      </c>
      <c r="J9" s="17" t="s">
        <v>0</v>
      </c>
      <c r="K9" s="23" t="str">
        <f t="shared" si="0"/>
        <v/>
      </c>
    </row>
    <row r="10" spans="1:11" ht="15" customHeight="1" x14ac:dyDescent="0.35">
      <c r="A10" s="6">
        <v>2021</v>
      </c>
      <c r="B10" s="7" t="s">
        <v>38</v>
      </c>
      <c r="C10" s="21" t="s">
        <v>35</v>
      </c>
      <c r="D10" s="22" t="s">
        <v>36</v>
      </c>
      <c r="E10" s="20" t="s">
        <v>40</v>
      </c>
      <c r="F10" s="4" t="s">
        <v>0</v>
      </c>
      <c r="G10" s="4" t="s">
        <v>0</v>
      </c>
      <c r="H10" s="17" t="s">
        <v>0</v>
      </c>
      <c r="I10" s="17" t="s">
        <v>0</v>
      </c>
      <c r="J10" s="17" t="s">
        <v>0</v>
      </c>
      <c r="K10" s="23" t="str">
        <f t="shared" si="0"/>
        <v/>
      </c>
    </row>
    <row r="11" spans="1:11" ht="15" customHeight="1" x14ac:dyDescent="0.35">
      <c r="A11" s="6">
        <v>2022</v>
      </c>
      <c r="B11" s="7" t="s">
        <v>38</v>
      </c>
      <c r="C11" s="21" t="s">
        <v>35</v>
      </c>
      <c r="D11" s="22" t="s">
        <v>36</v>
      </c>
      <c r="E11" s="4" t="s">
        <v>0</v>
      </c>
      <c r="F11" s="20" t="s">
        <v>40</v>
      </c>
      <c r="G11" s="4" t="s">
        <v>0</v>
      </c>
      <c r="H11" s="17" t="s">
        <v>0</v>
      </c>
      <c r="I11" s="17" t="s">
        <v>0</v>
      </c>
      <c r="J11" s="17" t="s">
        <v>0</v>
      </c>
      <c r="K11" s="23" t="str">
        <f t="shared" si="0"/>
        <v/>
      </c>
    </row>
    <row r="12" spans="1:11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7" t="s">
        <v>0</v>
      </c>
      <c r="I12" s="17" t="s">
        <v>0</v>
      </c>
      <c r="J12" s="17" t="s">
        <v>0</v>
      </c>
      <c r="K12" s="23" t="str">
        <f t="shared" ref="K12" si="1">IF(OR(AND(H12&gt;1,H12&lt;&gt;"-"),AND(I12&gt;1,I12&lt;&gt;"-")),"Can exchange","")</f>
        <v/>
      </c>
    </row>
    <row r="13" spans="1:11" ht="15" customHeight="1" x14ac:dyDescent="0.35">
      <c r="A13" s="6">
        <v>2024</v>
      </c>
      <c r="B13" s="7" t="s">
        <v>38</v>
      </c>
      <c r="C13" s="21" t="s">
        <v>35</v>
      </c>
      <c r="D13" s="22" t="s">
        <v>36</v>
      </c>
      <c r="E13" s="4" t="s">
        <v>0</v>
      </c>
      <c r="F13" s="4" t="s">
        <v>0</v>
      </c>
      <c r="G13" s="20" t="s">
        <v>51</v>
      </c>
      <c r="H13" s="17" t="s">
        <v>0</v>
      </c>
      <c r="I13" s="17" t="s">
        <v>0</v>
      </c>
      <c r="J13" s="17" t="s">
        <v>0</v>
      </c>
    </row>
    <row r="14" spans="1:11" ht="15" customHeight="1" x14ac:dyDescent="0.35">
      <c r="A14" s="6">
        <v>2025</v>
      </c>
      <c r="B14" s="7" t="s">
        <v>38</v>
      </c>
      <c r="C14" s="21" t="s">
        <v>35</v>
      </c>
      <c r="D14" s="22" t="s">
        <v>36</v>
      </c>
      <c r="E14" s="4" t="s">
        <v>0</v>
      </c>
      <c r="F14" s="20" t="s">
        <v>51</v>
      </c>
      <c r="G14" s="4" t="s">
        <v>0</v>
      </c>
      <c r="H14" s="17" t="s">
        <v>0</v>
      </c>
      <c r="I14" s="17" t="s">
        <v>0</v>
      </c>
      <c r="J14" s="17" t="s">
        <v>0</v>
      </c>
    </row>
  </sheetData>
  <autoFilter ref="B2:G2" xr:uid="{00000000-0001-0000-0500-000000000000}"/>
  <mergeCells count="4">
    <mergeCell ref="A1:A2"/>
    <mergeCell ref="C1:D1"/>
    <mergeCell ref="H1:J1"/>
    <mergeCell ref="E1:G1"/>
  </mergeCells>
  <phoneticPr fontId="7" type="noConversion"/>
  <conditionalFormatting sqref="H3:H6">
    <cfRule type="containsText" dxfId="85" priority="101" operator="containsText" text="*-">
      <formula>NOT(ISERROR(SEARCH(("*-"),(H3))))</formula>
    </cfRule>
  </conditionalFormatting>
  <conditionalFormatting sqref="H3:H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 H10:H11">
    <cfRule type="containsText" dxfId="84" priority="99" operator="containsText" text="*-">
      <formula>NOT(ISERROR(SEARCH(("*-"),(H7))))</formula>
    </cfRule>
  </conditionalFormatting>
  <conditionalFormatting sqref="H10:H11 H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83" priority="97" operator="containsText" text="*-">
      <formula>NOT(ISERROR(SEARCH(("*-"),(H8))))</formula>
    </cfRule>
  </conditionalFormatting>
  <conditionalFormatting sqref="H8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82" priority="95" operator="containsText" text="*-">
      <formula>NOT(ISERROR(SEARCH(("*-"),(H9))))</formula>
    </cfRule>
  </conditionalFormatting>
  <conditionalFormatting sqref="H9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J3 I4:I6 J4:J14">
    <cfRule type="containsText" dxfId="81" priority="93" operator="containsText" text="*-">
      <formula>NOT(ISERROR(SEARCH(("*-"),(I3))))</formula>
    </cfRule>
  </conditionalFormatting>
  <conditionalFormatting sqref="I3:J3 I4:I6 J4:J14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80" priority="91" operator="containsText" text="*-">
      <formula>NOT(ISERROR(SEARCH(("*-"),(I7))))</formula>
    </cfRule>
  </conditionalFormatting>
  <conditionalFormatting sqref="I7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 I10">
    <cfRule type="containsText" dxfId="79" priority="89" operator="containsText" text="*-">
      <formula>NOT(ISERROR(SEARCH(("*-"),(I8))))</formula>
    </cfRule>
  </conditionalFormatting>
  <conditionalFormatting sqref="I10 I8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 I11">
    <cfRule type="containsText" dxfId="78" priority="87" operator="containsText" text="*-">
      <formula>NOT(ISERROR(SEARCH(("*-"),(I9))))</formula>
    </cfRule>
  </conditionalFormatting>
  <conditionalFormatting sqref="I11 I9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:I11 I3:J3 I4:I6 J4:J14">
    <cfRule type="containsText" dxfId="77" priority="85" operator="containsText" text="*-">
      <formula>NOT(ISERROR(SEARCH(("*-"),(I3))))</formula>
    </cfRule>
  </conditionalFormatting>
  <conditionalFormatting sqref="I9:I11 I3:J3 I4:I6 J4:J14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76" priority="83" operator="containsText" text="*-">
      <formula>NOT(ISERROR(SEARCH(("*-"),(I8))))</formula>
    </cfRule>
  </conditionalFormatting>
  <conditionalFormatting sqref="I8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75" priority="81" operator="containsText" text="*-">
      <formula>NOT(ISERROR(SEARCH(("*-"),(I7))))</formula>
    </cfRule>
  </conditionalFormatting>
  <conditionalFormatting sqref="I7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74" priority="79" operator="containsText" text="*-">
      <formula>NOT(ISERROR(SEARCH(("*-"),(H12))))</formula>
    </cfRule>
  </conditionalFormatting>
  <conditionalFormatting sqref="H1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73" priority="77" operator="containsText" text="*-">
      <formula>NOT(ISERROR(SEARCH(("*-"),(I12))))</formula>
    </cfRule>
  </conditionalFormatting>
  <conditionalFormatting sqref="I12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72" priority="75" operator="containsText" text="*-">
      <formula>NOT(ISERROR(SEARCH(("*-"),(I12))))</formula>
    </cfRule>
  </conditionalFormatting>
  <conditionalFormatting sqref="I12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71" priority="11" operator="containsText" text="*-">
      <formula>NOT(ISERROR(SEARCH(("*-"),(H13))))</formula>
    </cfRule>
  </conditionalFormatting>
  <conditionalFormatting sqref="H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70" priority="9" operator="containsText" text="*-">
      <formula>NOT(ISERROR(SEARCH(("*-"),(I13))))</formula>
    </cfRule>
  </conditionalFormatting>
  <conditionalFormatting sqref="I1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69" priority="7" operator="containsText" text="*-">
      <formula>NOT(ISERROR(SEARCH(("*-"),(I13))))</formula>
    </cfRule>
  </conditionalFormatting>
  <conditionalFormatting sqref="I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68" priority="5" operator="containsText" text="*-">
      <formula>NOT(ISERROR(SEARCH(("*-"),(H14))))</formula>
    </cfRule>
  </conditionalFormatting>
  <conditionalFormatting sqref="H1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67" priority="3" operator="containsText" text="*-">
      <formula>NOT(ISERROR(SEARCH(("*-"),(I14))))</formula>
    </cfRule>
  </conditionalFormatting>
  <conditionalFormatting sqref="I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66" priority="1" operator="containsText" text="*-">
      <formula>NOT(ISERROR(SEARCH(("*-"),(I14))))</formula>
    </cfRule>
  </conditionalFormatting>
  <conditionalFormatting sqref="I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>
      <pane xSplit="13" ySplit="2" topLeftCell="N3" activePane="bottomRight" state="frozen"/>
      <selection pane="topRight" activeCell="H1" sqref="H1"/>
      <selection pane="bottomLeft" activeCell="A3" sqref="A3"/>
      <selection pane="bottomRight" activeCell="L2" sqref="L2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6" width="12.6328125" style="2" customWidth="1"/>
    <col min="7" max="8" width="12.6328125" customWidth="1"/>
    <col min="9" max="10" width="3.6328125" style="2" customWidth="1"/>
    <col min="11" max="12" width="3.6328125" customWidth="1"/>
    <col min="13" max="13" width="12.6328125" style="2" customWidth="1"/>
  </cols>
  <sheetData>
    <row r="1" spans="1:13" ht="15" customHeight="1" x14ac:dyDescent="0.35">
      <c r="A1" s="27" t="s">
        <v>1</v>
      </c>
      <c r="B1" s="24"/>
      <c r="C1" s="29" t="s">
        <v>2</v>
      </c>
      <c r="D1" s="30"/>
      <c r="E1" s="31" t="s">
        <v>3</v>
      </c>
      <c r="F1" s="32"/>
      <c r="G1" s="33"/>
      <c r="H1" s="34"/>
      <c r="I1" s="35" t="s">
        <v>10</v>
      </c>
      <c r="J1" s="36"/>
      <c r="K1" s="37"/>
      <c r="L1" s="38"/>
      <c r="M1" s="1"/>
    </row>
    <row r="2" spans="1:13" ht="15" customHeight="1" x14ac:dyDescent="0.35">
      <c r="A2" s="28"/>
      <c r="B2" s="24" t="s">
        <v>44</v>
      </c>
      <c r="C2" s="3" t="s">
        <v>45</v>
      </c>
      <c r="D2" s="3" t="s">
        <v>47</v>
      </c>
      <c r="E2" s="5" t="s">
        <v>48</v>
      </c>
      <c r="F2" s="5" t="s">
        <v>49</v>
      </c>
      <c r="G2" s="5" t="s">
        <v>41</v>
      </c>
      <c r="H2" s="5" t="s">
        <v>50</v>
      </c>
      <c r="I2" s="3" t="s">
        <v>48</v>
      </c>
      <c r="J2" s="3" t="s">
        <v>49</v>
      </c>
      <c r="K2" s="16" t="s">
        <v>41</v>
      </c>
      <c r="L2" s="16" t="s">
        <v>50</v>
      </c>
      <c r="M2" s="1"/>
    </row>
    <row r="3" spans="1:13" ht="15" customHeight="1" x14ac:dyDescent="0.35">
      <c r="A3" s="6">
        <v>2014</v>
      </c>
      <c r="B3" s="7" t="s">
        <v>39</v>
      </c>
      <c r="C3" s="21" t="s">
        <v>35</v>
      </c>
      <c r="D3" s="22" t="s">
        <v>36</v>
      </c>
      <c r="E3" s="9" t="s">
        <v>33</v>
      </c>
      <c r="F3" s="4" t="s">
        <v>0</v>
      </c>
      <c r="G3" s="4" t="s">
        <v>0</v>
      </c>
      <c r="H3" s="4" t="s">
        <v>0</v>
      </c>
      <c r="I3" s="17">
        <v>0</v>
      </c>
      <c r="J3" s="17" t="s">
        <v>0</v>
      </c>
      <c r="K3" s="17" t="s">
        <v>0</v>
      </c>
      <c r="L3" s="17" t="s">
        <v>0</v>
      </c>
      <c r="M3" s="23" t="str">
        <f t="shared" ref="M3:M14" si="0">IF(OR(AND(I3&gt;1,I3&lt;&gt;"-"),AND(J3&gt;1,J3&lt;&gt;"-"),AND(K3&gt;1,K3&lt;&gt;"-"),AND(L3&gt;1,L3&lt;&gt;"-")),"Can exchange","")</f>
        <v/>
      </c>
    </row>
    <row r="4" spans="1:13" ht="15" customHeight="1" x14ac:dyDescent="0.35">
      <c r="A4" s="6">
        <v>2015</v>
      </c>
      <c r="B4" s="7" t="s">
        <v>39</v>
      </c>
      <c r="C4" s="21" t="s">
        <v>35</v>
      </c>
      <c r="D4" s="22" t="s">
        <v>36</v>
      </c>
      <c r="E4" s="4" t="s">
        <v>0</v>
      </c>
      <c r="F4" s="20" t="s">
        <v>26</v>
      </c>
      <c r="G4" s="4" t="s">
        <v>0</v>
      </c>
      <c r="H4" s="4" t="s">
        <v>0</v>
      </c>
      <c r="I4" s="17" t="s">
        <v>0</v>
      </c>
      <c r="J4" s="17" t="s">
        <v>0</v>
      </c>
      <c r="K4" s="17" t="s">
        <v>0</v>
      </c>
      <c r="L4" s="17" t="s">
        <v>0</v>
      </c>
      <c r="M4" s="23" t="str">
        <f t="shared" si="0"/>
        <v/>
      </c>
    </row>
    <row r="5" spans="1:13" ht="15" customHeight="1" x14ac:dyDescent="0.35">
      <c r="A5" s="6">
        <v>2016</v>
      </c>
      <c r="B5" s="7" t="s">
        <v>39</v>
      </c>
      <c r="C5" s="21" t="s">
        <v>35</v>
      </c>
      <c r="D5" s="22" t="s">
        <v>36</v>
      </c>
      <c r="E5" s="4" t="s">
        <v>0</v>
      </c>
      <c r="F5" s="20" t="s">
        <v>27</v>
      </c>
      <c r="G5" s="9" t="s">
        <v>52</v>
      </c>
      <c r="H5" s="4" t="s">
        <v>0</v>
      </c>
      <c r="I5" s="17" t="s">
        <v>0</v>
      </c>
      <c r="J5" s="17" t="s">
        <v>0</v>
      </c>
      <c r="K5" s="17">
        <v>0</v>
      </c>
      <c r="L5" s="17" t="s">
        <v>0</v>
      </c>
      <c r="M5" s="23" t="str">
        <f t="shared" si="0"/>
        <v/>
      </c>
    </row>
    <row r="6" spans="1:13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17" t="s">
        <v>0</v>
      </c>
      <c r="J6" s="17" t="s">
        <v>0</v>
      </c>
      <c r="K6" s="17" t="s">
        <v>0</v>
      </c>
      <c r="L6" s="17" t="s">
        <v>0</v>
      </c>
      <c r="M6" s="23" t="str">
        <f t="shared" si="0"/>
        <v/>
      </c>
    </row>
    <row r="7" spans="1:13" ht="15" customHeight="1" x14ac:dyDescent="0.35">
      <c r="A7" s="6">
        <v>2018</v>
      </c>
      <c r="B7" s="7" t="s">
        <v>39</v>
      </c>
      <c r="C7" s="21" t="s">
        <v>35</v>
      </c>
      <c r="D7" s="22" t="s">
        <v>36</v>
      </c>
      <c r="E7" s="4" t="s">
        <v>0</v>
      </c>
      <c r="F7" s="20" t="s">
        <v>40</v>
      </c>
      <c r="G7" s="4" t="s">
        <v>0</v>
      </c>
      <c r="H7" s="4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23" t="str">
        <f t="shared" si="0"/>
        <v/>
      </c>
    </row>
    <row r="8" spans="1:13" ht="15" customHeight="1" x14ac:dyDescent="0.35">
      <c r="A8" s="6">
        <v>2019</v>
      </c>
      <c r="B8" s="7" t="s">
        <v>39</v>
      </c>
      <c r="C8" s="21" t="s">
        <v>35</v>
      </c>
      <c r="D8" s="22" t="s">
        <v>36</v>
      </c>
      <c r="E8" s="4" t="s">
        <v>0</v>
      </c>
      <c r="F8" s="4" t="s">
        <v>0</v>
      </c>
      <c r="G8" s="4" t="s">
        <v>0</v>
      </c>
      <c r="H8" s="20" t="s">
        <v>40</v>
      </c>
      <c r="I8" s="17" t="s">
        <v>0</v>
      </c>
      <c r="J8" s="17" t="s">
        <v>0</v>
      </c>
      <c r="K8" s="17" t="s">
        <v>0</v>
      </c>
      <c r="L8" s="17" t="s">
        <v>0</v>
      </c>
      <c r="M8" s="23" t="str">
        <f t="shared" si="0"/>
        <v/>
      </c>
    </row>
    <row r="9" spans="1:13" ht="15" customHeight="1" x14ac:dyDescent="0.35">
      <c r="A9" s="6">
        <v>2020</v>
      </c>
      <c r="B9" s="7" t="s">
        <v>39</v>
      </c>
      <c r="C9" s="21" t="s">
        <v>35</v>
      </c>
      <c r="D9" s="22" t="s">
        <v>36</v>
      </c>
      <c r="E9" s="4" t="s">
        <v>0</v>
      </c>
      <c r="F9" s="4" t="s">
        <v>0</v>
      </c>
      <c r="G9" s="4" t="s">
        <v>0</v>
      </c>
      <c r="H9" s="20" t="s">
        <v>40</v>
      </c>
      <c r="I9" s="17" t="s">
        <v>0</v>
      </c>
      <c r="J9" s="17" t="s">
        <v>0</v>
      </c>
      <c r="K9" s="17" t="s">
        <v>0</v>
      </c>
      <c r="L9" s="17" t="s">
        <v>0</v>
      </c>
      <c r="M9" s="23" t="str">
        <f t="shared" si="0"/>
        <v/>
      </c>
    </row>
    <row r="10" spans="1:13" ht="15" customHeight="1" x14ac:dyDescent="0.35">
      <c r="A10" s="6">
        <v>2021</v>
      </c>
      <c r="B10" s="7" t="s">
        <v>39</v>
      </c>
      <c r="C10" s="21" t="s">
        <v>35</v>
      </c>
      <c r="D10" s="22" t="s">
        <v>36</v>
      </c>
      <c r="E10" s="4" t="s">
        <v>0</v>
      </c>
      <c r="F10" s="20" t="s">
        <v>40</v>
      </c>
      <c r="G10" s="4" t="s">
        <v>0</v>
      </c>
      <c r="H10" s="4" t="s">
        <v>0</v>
      </c>
      <c r="I10" s="17" t="s">
        <v>0</v>
      </c>
      <c r="J10" s="17" t="s">
        <v>0</v>
      </c>
      <c r="K10" s="17" t="s">
        <v>0</v>
      </c>
      <c r="L10" s="17" t="s">
        <v>0</v>
      </c>
      <c r="M10" s="23" t="str">
        <f t="shared" si="0"/>
        <v/>
      </c>
    </row>
    <row r="11" spans="1:13" ht="15" customHeight="1" x14ac:dyDescent="0.35">
      <c r="A11" s="6">
        <v>2022</v>
      </c>
      <c r="B11" s="7" t="s">
        <v>39</v>
      </c>
      <c r="C11" s="21" t="s">
        <v>35</v>
      </c>
      <c r="D11" s="22" t="s">
        <v>36</v>
      </c>
      <c r="E11" s="4" t="s">
        <v>0</v>
      </c>
      <c r="F11" s="4" t="s">
        <v>0</v>
      </c>
      <c r="G11" s="20" t="s">
        <v>40</v>
      </c>
      <c r="H11" s="4" t="s">
        <v>0</v>
      </c>
      <c r="I11" s="17" t="s">
        <v>0</v>
      </c>
      <c r="J11" s="17" t="s">
        <v>0</v>
      </c>
      <c r="K11" s="17" t="s">
        <v>0</v>
      </c>
      <c r="L11" s="17" t="s">
        <v>0</v>
      </c>
      <c r="M11" s="23" t="str">
        <f t="shared" si="0"/>
        <v/>
      </c>
    </row>
    <row r="12" spans="1:13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17" t="s">
        <v>0</v>
      </c>
      <c r="J12" s="17" t="s">
        <v>0</v>
      </c>
      <c r="K12" s="17" t="s">
        <v>0</v>
      </c>
      <c r="L12" s="17" t="s">
        <v>0</v>
      </c>
      <c r="M12" s="23" t="str">
        <f t="shared" si="0"/>
        <v/>
      </c>
    </row>
    <row r="13" spans="1:13" ht="15" customHeight="1" x14ac:dyDescent="0.35">
      <c r="A13" s="6">
        <v>2024</v>
      </c>
      <c r="B13" s="7" t="s">
        <v>39</v>
      </c>
      <c r="C13" s="21" t="s">
        <v>35</v>
      </c>
      <c r="D13" s="22" t="s">
        <v>36</v>
      </c>
      <c r="E13" s="4" t="s">
        <v>0</v>
      </c>
      <c r="F13" s="4" t="s">
        <v>0</v>
      </c>
      <c r="G13" s="4" t="s">
        <v>0</v>
      </c>
      <c r="H13" s="20" t="s">
        <v>51</v>
      </c>
      <c r="I13" s="17" t="s">
        <v>0</v>
      </c>
      <c r="J13" s="17" t="s">
        <v>0</v>
      </c>
      <c r="K13" s="17" t="s">
        <v>0</v>
      </c>
      <c r="L13" s="17" t="s">
        <v>0</v>
      </c>
      <c r="M13" s="23" t="str">
        <f t="shared" si="0"/>
        <v/>
      </c>
    </row>
    <row r="14" spans="1:13" ht="15" customHeight="1" x14ac:dyDescent="0.35">
      <c r="A14" s="6">
        <v>2025</v>
      </c>
      <c r="B14" s="7" t="s">
        <v>39</v>
      </c>
      <c r="C14" s="21" t="s">
        <v>35</v>
      </c>
      <c r="D14" s="22" t="s">
        <v>36</v>
      </c>
      <c r="E14" s="4" t="s">
        <v>0</v>
      </c>
      <c r="F14" s="4" t="s">
        <v>0</v>
      </c>
      <c r="G14" s="20" t="s">
        <v>51</v>
      </c>
      <c r="H14" s="4" t="s">
        <v>0</v>
      </c>
      <c r="I14" s="17" t="s">
        <v>0</v>
      </c>
      <c r="J14" s="17" t="s">
        <v>0</v>
      </c>
      <c r="K14" s="17" t="s">
        <v>0</v>
      </c>
      <c r="L14" s="17" t="s">
        <v>0</v>
      </c>
      <c r="M14" s="23" t="str">
        <f t="shared" si="0"/>
        <v/>
      </c>
    </row>
  </sheetData>
  <autoFilter ref="B2:H2" xr:uid="{00000000-0001-0000-0600-000000000000}"/>
  <mergeCells count="4">
    <mergeCell ref="A1:A2"/>
    <mergeCell ref="C1:D1"/>
    <mergeCell ref="E1:H1"/>
    <mergeCell ref="I1:L1"/>
  </mergeCells>
  <phoneticPr fontId="7" type="noConversion"/>
  <conditionalFormatting sqref="I3:I4 I6">
    <cfRule type="containsText" dxfId="65" priority="159" operator="containsText" text="*-">
      <formula>NOT(ISERROR(SEARCH(("*-"),(I3))))</formula>
    </cfRule>
  </conditionalFormatting>
  <conditionalFormatting sqref="I3:I4 I6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 I10:I11">
    <cfRule type="containsText" dxfId="64" priority="157" operator="containsText" text="*-">
      <formula>NOT(ISERROR(SEARCH(("*-"),(I7))))</formula>
    </cfRule>
  </conditionalFormatting>
  <conditionalFormatting sqref="I10:I11 I7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63" priority="155" operator="containsText" text="*-">
      <formula>NOT(ISERROR(SEARCH(("*-"),(I8))))</formula>
    </cfRule>
  </conditionalFormatting>
  <conditionalFormatting sqref="I8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">
    <cfRule type="containsText" dxfId="62" priority="153" operator="containsText" text="*-">
      <formula>NOT(ISERROR(SEARCH(("*-"),(I9))))</formula>
    </cfRule>
  </conditionalFormatting>
  <conditionalFormatting sqref="I9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4 K6">
    <cfRule type="containsText" dxfId="61" priority="151" operator="containsText" text="*-">
      <formula>NOT(ISERROR(SEARCH(("*-"),(K3))))</formula>
    </cfRule>
  </conditionalFormatting>
  <conditionalFormatting sqref="K3:K4 K6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60" priority="149" operator="containsText" text="*-">
      <formula>NOT(ISERROR(SEARCH(("*-"),(K7))))</formula>
    </cfRule>
  </conditionalFormatting>
  <conditionalFormatting sqref="K7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 K10">
    <cfRule type="containsText" dxfId="59" priority="147" operator="containsText" text="*-">
      <formula>NOT(ISERROR(SEARCH(("*-"),(K8))))</formula>
    </cfRule>
  </conditionalFormatting>
  <conditionalFormatting sqref="K8 K10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 K11">
    <cfRule type="containsText" dxfId="58" priority="145" operator="containsText" text="*-">
      <formula>NOT(ISERROR(SEARCH(("*-"),(K9))))</formula>
    </cfRule>
  </conditionalFormatting>
  <conditionalFormatting sqref="K11 K9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4 K9:K11 K6">
    <cfRule type="containsText" dxfId="57" priority="143" operator="containsText" text="*-">
      <formula>NOT(ISERROR(SEARCH(("*-"),(K3))))</formula>
    </cfRule>
  </conditionalFormatting>
  <conditionalFormatting sqref="K3:K4 K9:K11 K6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56" priority="141" operator="containsText" text="*-">
      <formula>NOT(ISERROR(SEARCH(("*-"),(K8))))</formula>
    </cfRule>
  </conditionalFormatting>
  <conditionalFormatting sqref="K8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55" priority="139" operator="containsText" text="*-">
      <formula>NOT(ISERROR(SEARCH(("*-"),(K7))))</formula>
    </cfRule>
  </conditionalFormatting>
  <conditionalFormatting sqref="K7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54" priority="137" operator="containsText" text="*-">
      <formula>NOT(ISERROR(SEARCH(("*-"),(I12))))</formula>
    </cfRule>
  </conditionalFormatting>
  <conditionalFormatting sqref="I12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53" priority="135" operator="containsText" text="*-">
      <formula>NOT(ISERROR(SEARCH(("*-"),(K12))))</formula>
    </cfRule>
  </conditionalFormatting>
  <conditionalFormatting sqref="K12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52" priority="133" operator="containsText" text="*-">
      <formula>NOT(ISERROR(SEARCH(("*-"),(K12))))</formula>
    </cfRule>
  </conditionalFormatting>
  <conditionalFormatting sqref="K12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">
    <cfRule type="containsText" dxfId="51" priority="69" operator="containsText" text="*-">
      <formula>NOT(ISERROR(SEARCH(("*-"),(J3))))</formula>
    </cfRule>
  </conditionalFormatting>
  <conditionalFormatting sqref="J3:J6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50" priority="67" operator="containsText" text="*-">
      <formula>NOT(ISERROR(SEARCH(("*-"),(J7))))</formula>
    </cfRule>
  </conditionalFormatting>
  <conditionalFormatting sqref="J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 J10">
    <cfRule type="containsText" dxfId="49" priority="65" operator="containsText" text="*-">
      <formula>NOT(ISERROR(SEARCH(("*-"),(J8))))</formula>
    </cfRule>
  </conditionalFormatting>
  <conditionalFormatting sqref="J10 J8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 J11">
    <cfRule type="containsText" dxfId="48" priority="63" operator="containsText" text="*-">
      <formula>NOT(ISERROR(SEARCH(("*-"),(J9))))</formula>
    </cfRule>
  </conditionalFormatting>
  <conditionalFormatting sqref="J11 J9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6 J9:J11">
    <cfRule type="containsText" dxfId="47" priority="61" operator="containsText" text="*-">
      <formula>NOT(ISERROR(SEARCH(("*-"),(J3))))</formula>
    </cfRule>
  </conditionalFormatting>
  <conditionalFormatting sqref="J3:J6 J9:J11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">
    <cfRule type="containsText" dxfId="46" priority="59" operator="containsText" text="*-">
      <formula>NOT(ISERROR(SEARCH(("*-"),(J8))))</formula>
    </cfRule>
  </conditionalFormatting>
  <conditionalFormatting sqref="J8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45" priority="57" operator="containsText" text="*-">
      <formula>NOT(ISERROR(SEARCH(("*-"),(J7))))</formula>
    </cfRule>
  </conditionalFormatting>
  <conditionalFormatting sqref="J7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44" priority="55" operator="containsText" text="*-">
      <formula>NOT(ISERROR(SEARCH(("*-"),(J12))))</formula>
    </cfRule>
  </conditionalFormatting>
  <conditionalFormatting sqref="J12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43" priority="53" operator="containsText" text="*-">
      <formula>NOT(ISERROR(SEARCH(("*-"),(J12))))</formula>
    </cfRule>
  </conditionalFormatting>
  <conditionalFormatting sqref="J1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L6">
    <cfRule type="containsText" dxfId="42" priority="51" operator="containsText" text="*-">
      <formula>NOT(ISERROR(SEARCH(("*-"),(L3))))</formula>
    </cfRule>
  </conditionalFormatting>
  <conditionalFormatting sqref="L3:L6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41" priority="49" operator="containsText" text="*-">
      <formula>NOT(ISERROR(SEARCH(("*-"),(L7))))</formula>
    </cfRule>
  </conditionalFormatting>
  <conditionalFormatting sqref="L7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 L10">
    <cfRule type="containsText" dxfId="40" priority="47" operator="containsText" text="*-">
      <formula>NOT(ISERROR(SEARCH(("*-"),(L8))))</formula>
    </cfRule>
  </conditionalFormatting>
  <conditionalFormatting sqref="L8 L1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 L11">
    <cfRule type="containsText" dxfId="39" priority="45" operator="containsText" text="*-">
      <formula>NOT(ISERROR(SEARCH(("*-"),(L9))))</formula>
    </cfRule>
  </conditionalFormatting>
  <conditionalFormatting sqref="L9 L11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:L6 L9:L11">
    <cfRule type="containsText" dxfId="38" priority="43" operator="containsText" text="*-">
      <formula>NOT(ISERROR(SEARCH(("*-"),(L3))))</formula>
    </cfRule>
  </conditionalFormatting>
  <conditionalFormatting sqref="L3:L6 L9:L11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">
    <cfRule type="containsText" dxfId="37" priority="41" operator="containsText" text="*-">
      <formula>NOT(ISERROR(SEARCH(("*-"),(L8))))</formula>
    </cfRule>
  </conditionalFormatting>
  <conditionalFormatting sqref="L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36" priority="39" operator="containsText" text="*-">
      <formula>NOT(ISERROR(SEARCH(("*-"),(L7))))</formula>
    </cfRule>
  </conditionalFormatting>
  <conditionalFormatting sqref="L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">
    <cfRule type="containsText" dxfId="35" priority="37" operator="containsText" text="*-">
      <formula>NOT(ISERROR(SEARCH(("*-"),(L12))))</formula>
    </cfRule>
  </conditionalFormatting>
  <conditionalFormatting sqref="L1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">
    <cfRule type="containsText" dxfId="34" priority="35" operator="containsText" text="*-">
      <formula>NOT(ISERROR(SEARCH(("*-"),(L12))))</formula>
    </cfRule>
  </conditionalFormatting>
  <conditionalFormatting sqref="L1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">
    <cfRule type="containsText" dxfId="33" priority="33" operator="containsText" text="*-">
      <formula>NOT(ISERROR(SEARCH(("*-"),(K5))))</formula>
    </cfRule>
  </conditionalFormatting>
  <conditionalFormatting sqref="K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32" priority="31" operator="containsText" text="*-">
      <formula>NOT(ISERROR(SEARCH(("*-"),(I5))))</formula>
    </cfRule>
  </conditionalFormatting>
  <conditionalFormatting sqref="I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31" priority="29" operator="containsText" text="*-">
      <formula>NOT(ISERROR(SEARCH(("*-"),(I5))))</formula>
    </cfRule>
  </conditionalFormatting>
  <conditionalFormatting sqref="I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30" priority="27" operator="containsText" text="*-">
      <formula>NOT(ISERROR(SEARCH(("*-"),(I13))))</formula>
    </cfRule>
  </conditionalFormatting>
  <conditionalFormatting sqref="I1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29" priority="25" operator="containsText" text="*-">
      <formula>NOT(ISERROR(SEARCH(("*-"),(K13))))</formula>
    </cfRule>
  </conditionalFormatting>
  <conditionalFormatting sqref="K1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28" priority="23" operator="containsText" text="*-">
      <formula>NOT(ISERROR(SEARCH(("*-"),(K13))))</formula>
    </cfRule>
  </conditionalFormatting>
  <conditionalFormatting sqref="K1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27" priority="21" operator="containsText" text="*-">
      <formula>NOT(ISERROR(SEARCH(("*-"),(I14))))</formula>
    </cfRule>
  </conditionalFormatting>
  <conditionalFormatting sqref="I1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26" priority="19" operator="containsText" text="*-">
      <formula>NOT(ISERROR(SEARCH(("*-"),(K14))))</formula>
    </cfRule>
  </conditionalFormatting>
  <conditionalFormatting sqref="K1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25" priority="17" operator="containsText" text="*-">
      <formula>NOT(ISERROR(SEARCH(("*-"),(K14))))</formula>
    </cfRule>
  </conditionalFormatting>
  <conditionalFormatting sqref="K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24" priority="15" operator="containsText" text="*-">
      <formula>NOT(ISERROR(SEARCH(("*-"),(J13))))</formula>
    </cfRule>
  </conditionalFormatting>
  <conditionalFormatting sqref="J1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23" priority="13" operator="containsText" text="*-">
      <formula>NOT(ISERROR(SEARCH(("*-"),(J13))))</formula>
    </cfRule>
  </conditionalFormatting>
  <conditionalFormatting sqref="J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22" priority="11" operator="containsText" text="*-">
      <formula>NOT(ISERROR(SEARCH(("*-"),(J14))))</formula>
    </cfRule>
  </conditionalFormatting>
  <conditionalFormatting sqref="J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21" priority="9" operator="containsText" text="*-">
      <formula>NOT(ISERROR(SEARCH(("*-"),(J14))))</formula>
    </cfRule>
  </conditionalFormatting>
  <conditionalFormatting sqref="J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20" priority="7" operator="containsText" text="*-">
      <formula>NOT(ISERROR(SEARCH(("*-"),(L13))))</formula>
    </cfRule>
  </conditionalFormatting>
  <conditionalFormatting sqref="L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19" priority="5" operator="containsText" text="*-">
      <formula>NOT(ISERROR(SEARCH(("*-"),(L13))))</formula>
    </cfRule>
  </conditionalFormatting>
  <conditionalFormatting sqref="L1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18" priority="3" operator="containsText" text="*-">
      <formula>NOT(ISERROR(SEARCH(("*-"),(L14))))</formula>
    </cfRule>
  </conditionalFormatting>
  <conditionalFormatting sqref="L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17" priority="1" operator="containsText" text="*-">
      <formula>NOT(ISERROR(SEARCH(("*-"),(L14))))</formula>
    </cfRule>
  </conditionalFormatting>
  <conditionalFormatting sqref="L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N16" sqref="N16"/>
    </sheetView>
  </sheetViews>
  <sheetFormatPr defaultRowHeight="15" customHeight="1" x14ac:dyDescent="0.35"/>
  <cols>
    <col min="1" max="1" width="5.6328125" style="2" customWidth="1"/>
    <col min="2" max="2" width="50.6328125" style="2" customWidth="1"/>
    <col min="3" max="4" width="33.6328125" style="2" customWidth="1"/>
    <col min="5" max="5" width="12.6328125" style="2" customWidth="1"/>
    <col min="6" max="7" width="12.6328125" customWidth="1"/>
    <col min="8" max="8" width="3.6328125" style="2" customWidth="1"/>
    <col min="9" max="10" width="3.6328125" customWidth="1"/>
    <col min="11" max="11" width="12.6328125" style="2" customWidth="1"/>
  </cols>
  <sheetData>
    <row r="1" spans="1:11" ht="15" customHeight="1" x14ac:dyDescent="0.35">
      <c r="A1" s="27" t="s">
        <v>1</v>
      </c>
      <c r="B1" s="24"/>
      <c r="C1" s="29" t="s">
        <v>2</v>
      </c>
      <c r="D1" s="30"/>
      <c r="E1" s="29" t="s">
        <v>3</v>
      </c>
      <c r="F1" s="45"/>
      <c r="G1" s="30"/>
      <c r="H1" s="35" t="s">
        <v>10</v>
      </c>
      <c r="I1" s="46"/>
      <c r="J1" s="47"/>
      <c r="K1" s="1"/>
    </row>
    <row r="2" spans="1:11" ht="15" customHeight="1" x14ac:dyDescent="0.35">
      <c r="A2" s="28"/>
      <c r="B2" s="24" t="s">
        <v>44</v>
      </c>
      <c r="C2" s="3" t="s">
        <v>45</v>
      </c>
      <c r="D2" s="3" t="s">
        <v>47</v>
      </c>
      <c r="E2" s="5" t="s">
        <v>49</v>
      </c>
      <c r="F2" s="5" t="s">
        <v>41</v>
      </c>
      <c r="G2" s="5" t="s">
        <v>50</v>
      </c>
      <c r="H2" s="3" t="s">
        <v>49</v>
      </c>
      <c r="I2" s="16" t="s">
        <v>41</v>
      </c>
      <c r="J2" s="16" t="s">
        <v>50</v>
      </c>
      <c r="K2" s="1"/>
    </row>
    <row r="3" spans="1:11" ht="15" customHeight="1" x14ac:dyDescent="0.35">
      <c r="A3" s="6">
        <v>2014</v>
      </c>
      <c r="B3" s="7" t="s">
        <v>39</v>
      </c>
      <c r="C3" s="21" t="s">
        <v>35</v>
      </c>
      <c r="D3" s="22" t="s">
        <v>36</v>
      </c>
      <c r="E3" s="9" t="s">
        <v>34</v>
      </c>
      <c r="F3" s="4" t="s">
        <v>0</v>
      </c>
      <c r="G3" s="4" t="s">
        <v>0</v>
      </c>
      <c r="H3" s="17">
        <v>0</v>
      </c>
      <c r="I3" s="17" t="s">
        <v>0</v>
      </c>
      <c r="J3" s="17" t="s">
        <v>0</v>
      </c>
      <c r="K3" s="23" t="str">
        <f>IF(OR(AND(H3&gt;1,H3&lt;&gt;"-"),AND(I3&gt;1,I3&lt;&gt;"-"),AND(J3&gt;1,J3&lt;&gt;"-")),"Can exchange","")</f>
        <v/>
      </c>
    </row>
    <row r="4" spans="1:11" ht="15" customHeight="1" x14ac:dyDescent="0.35">
      <c r="A4" s="6">
        <v>2015</v>
      </c>
      <c r="B4" s="7" t="s">
        <v>39</v>
      </c>
      <c r="C4" s="21" t="s">
        <v>35</v>
      </c>
      <c r="D4" s="22" t="s">
        <v>36</v>
      </c>
      <c r="E4" s="20" t="s">
        <v>26</v>
      </c>
      <c r="F4" s="4" t="s">
        <v>0</v>
      </c>
      <c r="G4" s="4" t="s">
        <v>0</v>
      </c>
      <c r="H4" s="17" t="s">
        <v>0</v>
      </c>
      <c r="I4" s="17" t="s">
        <v>0</v>
      </c>
      <c r="J4" s="17" t="s">
        <v>0</v>
      </c>
      <c r="K4" s="23" t="str">
        <f t="shared" ref="K4:K12" si="0">IF(OR(AND(H4&gt;1,H4&lt;&gt;"-"),AND(I4&gt;1,I4&lt;&gt;"-"),AND(J4&gt;1,J4&lt;&gt;"-")),"Can exchange","")</f>
        <v/>
      </c>
    </row>
    <row r="5" spans="1:11" ht="15" customHeight="1" x14ac:dyDescent="0.35">
      <c r="A5" s="6">
        <v>2016</v>
      </c>
      <c r="B5" s="7" t="s">
        <v>39</v>
      </c>
      <c r="C5" s="21" t="s">
        <v>35</v>
      </c>
      <c r="D5" s="22" t="s">
        <v>36</v>
      </c>
      <c r="E5" s="20" t="s">
        <v>27</v>
      </c>
      <c r="F5" s="4" t="s">
        <v>0</v>
      </c>
      <c r="G5" s="4" t="s">
        <v>0</v>
      </c>
      <c r="H5" s="17" t="s">
        <v>0</v>
      </c>
      <c r="I5" s="17" t="s">
        <v>0</v>
      </c>
      <c r="J5" s="17" t="s">
        <v>0</v>
      </c>
      <c r="K5" s="23" t="str">
        <f t="shared" si="0"/>
        <v/>
      </c>
    </row>
    <row r="6" spans="1:11" ht="15" customHeight="1" x14ac:dyDescent="0.35">
      <c r="A6" s="6">
        <v>2017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17" t="s">
        <v>0</v>
      </c>
      <c r="I6" s="17" t="s">
        <v>0</v>
      </c>
      <c r="J6" s="17" t="s">
        <v>0</v>
      </c>
      <c r="K6" s="23" t="str">
        <f t="shared" si="0"/>
        <v/>
      </c>
    </row>
    <row r="7" spans="1:11" ht="15" customHeight="1" x14ac:dyDescent="0.35">
      <c r="A7" s="6">
        <v>2018</v>
      </c>
      <c r="B7" s="7" t="s">
        <v>39</v>
      </c>
      <c r="C7" s="21" t="s">
        <v>35</v>
      </c>
      <c r="D7" s="22" t="s">
        <v>36</v>
      </c>
      <c r="E7" s="20" t="s">
        <v>40</v>
      </c>
      <c r="F7" s="4" t="s">
        <v>0</v>
      </c>
      <c r="G7" s="4" t="s">
        <v>0</v>
      </c>
      <c r="H7" s="17" t="s">
        <v>0</v>
      </c>
      <c r="I7" s="17" t="s">
        <v>0</v>
      </c>
      <c r="J7" s="17" t="s">
        <v>0</v>
      </c>
      <c r="K7" s="23" t="str">
        <f t="shared" si="0"/>
        <v/>
      </c>
    </row>
    <row r="8" spans="1:11" ht="15" customHeight="1" x14ac:dyDescent="0.35">
      <c r="A8" s="6">
        <v>2019</v>
      </c>
      <c r="B8" s="7" t="s">
        <v>39</v>
      </c>
      <c r="C8" s="21" t="s">
        <v>35</v>
      </c>
      <c r="D8" s="22" t="s">
        <v>36</v>
      </c>
      <c r="E8" s="4" t="s">
        <v>0</v>
      </c>
      <c r="F8" s="4" t="s">
        <v>0</v>
      </c>
      <c r="G8" s="20" t="s">
        <v>40</v>
      </c>
      <c r="H8" s="17" t="s">
        <v>0</v>
      </c>
      <c r="I8" s="17" t="s">
        <v>0</v>
      </c>
      <c r="J8" s="17" t="s">
        <v>0</v>
      </c>
      <c r="K8" s="23" t="str">
        <f t="shared" si="0"/>
        <v/>
      </c>
    </row>
    <row r="9" spans="1:11" ht="15" customHeight="1" x14ac:dyDescent="0.35">
      <c r="A9" s="6">
        <v>2020</v>
      </c>
      <c r="B9" s="7" t="s">
        <v>39</v>
      </c>
      <c r="C9" s="21" t="s">
        <v>35</v>
      </c>
      <c r="D9" s="22" t="s">
        <v>36</v>
      </c>
      <c r="E9" s="4" t="s">
        <v>0</v>
      </c>
      <c r="F9" s="4" t="s">
        <v>0</v>
      </c>
      <c r="G9" s="20" t="s">
        <v>40</v>
      </c>
      <c r="H9" s="17" t="s">
        <v>0</v>
      </c>
      <c r="I9" s="17" t="s">
        <v>0</v>
      </c>
      <c r="J9" s="17" t="s">
        <v>0</v>
      </c>
      <c r="K9" s="23" t="str">
        <f t="shared" si="0"/>
        <v/>
      </c>
    </row>
    <row r="10" spans="1:11" ht="15" customHeight="1" x14ac:dyDescent="0.35">
      <c r="A10" s="6">
        <v>2021</v>
      </c>
      <c r="B10" s="7" t="s">
        <v>39</v>
      </c>
      <c r="C10" s="21" t="s">
        <v>35</v>
      </c>
      <c r="D10" s="22" t="s">
        <v>36</v>
      </c>
      <c r="E10" s="20" t="s">
        <v>40</v>
      </c>
      <c r="F10" s="4" t="s">
        <v>0</v>
      </c>
      <c r="G10" s="4" t="s">
        <v>0</v>
      </c>
      <c r="H10" s="17" t="s">
        <v>0</v>
      </c>
      <c r="I10" s="17" t="s">
        <v>0</v>
      </c>
      <c r="J10" s="17" t="s">
        <v>0</v>
      </c>
      <c r="K10" s="23" t="str">
        <f t="shared" si="0"/>
        <v/>
      </c>
    </row>
    <row r="11" spans="1:11" ht="15" customHeight="1" x14ac:dyDescent="0.35">
      <c r="A11" s="6">
        <v>2022</v>
      </c>
      <c r="B11" s="7" t="s">
        <v>39</v>
      </c>
      <c r="C11" s="21" t="s">
        <v>35</v>
      </c>
      <c r="D11" s="22" t="s">
        <v>36</v>
      </c>
      <c r="E11" s="4" t="s">
        <v>0</v>
      </c>
      <c r="F11" s="20" t="s">
        <v>40</v>
      </c>
      <c r="G11" s="4" t="s">
        <v>0</v>
      </c>
      <c r="H11" s="17" t="s">
        <v>0</v>
      </c>
      <c r="I11" s="17" t="s">
        <v>0</v>
      </c>
      <c r="J11" s="17" t="s">
        <v>0</v>
      </c>
      <c r="K11" s="23" t="str">
        <f t="shared" si="0"/>
        <v/>
      </c>
    </row>
    <row r="12" spans="1:11" ht="15" customHeight="1" x14ac:dyDescent="0.35">
      <c r="A12" s="6">
        <v>2023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17" t="s">
        <v>0</v>
      </c>
      <c r="I12" s="17" t="s">
        <v>0</v>
      </c>
      <c r="J12" s="17" t="s">
        <v>0</v>
      </c>
      <c r="K12" s="23" t="str">
        <f t="shared" si="0"/>
        <v/>
      </c>
    </row>
    <row r="13" spans="1:11" ht="15" customHeight="1" x14ac:dyDescent="0.35">
      <c r="A13" s="6">
        <v>2024</v>
      </c>
      <c r="B13" s="7" t="s">
        <v>39</v>
      </c>
      <c r="C13" s="21" t="s">
        <v>35</v>
      </c>
      <c r="D13" s="22" t="s">
        <v>36</v>
      </c>
      <c r="E13" s="4" t="s">
        <v>0</v>
      </c>
      <c r="F13" s="4" t="s">
        <v>0</v>
      </c>
      <c r="G13" s="20" t="s">
        <v>51</v>
      </c>
      <c r="H13" s="17" t="s">
        <v>0</v>
      </c>
      <c r="I13" s="17" t="s">
        <v>0</v>
      </c>
      <c r="J13" s="17" t="s">
        <v>0</v>
      </c>
      <c r="K13" s="23" t="str">
        <f t="shared" ref="K13:K14" si="1">IF(OR(AND(H13&gt;1,H13&lt;&gt;"-"),AND(I13&gt;1,I13&lt;&gt;"-"),AND(J13&gt;1,J13&lt;&gt;"-")),"Can exchange","")</f>
        <v/>
      </c>
    </row>
    <row r="14" spans="1:11" ht="15" customHeight="1" x14ac:dyDescent="0.35">
      <c r="A14" s="6">
        <v>2025</v>
      </c>
      <c r="B14" s="7" t="s">
        <v>39</v>
      </c>
      <c r="C14" s="21" t="s">
        <v>35</v>
      </c>
      <c r="D14" s="22" t="s">
        <v>36</v>
      </c>
      <c r="E14" s="4" t="s">
        <v>0</v>
      </c>
      <c r="F14" s="20" t="s">
        <v>51</v>
      </c>
      <c r="G14" s="4" t="s">
        <v>0</v>
      </c>
      <c r="H14" s="17" t="s">
        <v>0</v>
      </c>
      <c r="I14" s="17" t="s">
        <v>0</v>
      </c>
      <c r="J14" s="17" t="s">
        <v>0</v>
      </c>
      <c r="K14" s="23" t="str">
        <f t="shared" si="1"/>
        <v/>
      </c>
    </row>
  </sheetData>
  <autoFilter ref="B2:F2" xr:uid="{00000000-0001-0000-0700-000000000000}"/>
  <mergeCells count="4">
    <mergeCell ref="A1:A2"/>
    <mergeCell ref="C1:D1"/>
    <mergeCell ref="E1:G1"/>
    <mergeCell ref="H1:J1"/>
  </mergeCells>
  <phoneticPr fontId="7" type="noConversion"/>
  <conditionalFormatting sqref="H3:J3 H4:I6 J4:J12">
    <cfRule type="containsText" dxfId="16" priority="101" operator="containsText" text="*-">
      <formula>NOT(ISERROR(SEARCH(("*-"),(H3))))</formula>
    </cfRule>
  </conditionalFormatting>
  <conditionalFormatting sqref="H3:J3 H4:I6 J4:J12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I7">
    <cfRule type="containsText" dxfId="15" priority="99" operator="containsText" text="*-">
      <formula>NOT(ISERROR(SEARCH(("*-"),(H7))))</formula>
    </cfRule>
  </conditionalFormatting>
  <conditionalFormatting sqref="H7:I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:I8 H10:I10">
    <cfRule type="containsText" dxfId="14" priority="97" operator="containsText" text="*-">
      <formula>NOT(ISERROR(SEARCH(("*-"),(H8))))</formula>
    </cfRule>
  </conditionalFormatting>
  <conditionalFormatting sqref="H8:I8 H10:I10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I9 H11:I11">
    <cfRule type="containsText" dxfId="13" priority="95" operator="containsText" text="*-">
      <formula>NOT(ISERROR(SEARCH(("*-"),(H9))))</formula>
    </cfRule>
  </conditionalFormatting>
  <conditionalFormatting sqref="H9:I9 H11:I11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:I11 I3:J3 I4:I6 J4:J12">
    <cfRule type="containsText" dxfId="12" priority="93" operator="containsText" text="*-">
      <formula>NOT(ISERROR(SEARCH(("*-"),(I3))))</formula>
    </cfRule>
  </conditionalFormatting>
  <conditionalFormatting sqref="I9:I11 I3:J3 I4:I6 J4:J12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11" priority="79" operator="containsText" text="*-">
      <formula>NOT(ISERROR(SEARCH(("*-"),(I8))))</formula>
    </cfRule>
  </conditionalFormatting>
  <conditionalFormatting sqref="I8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0" priority="77" operator="containsText" text="*-">
      <formula>NOT(ISERROR(SEARCH(("*-"),(I7))))</formula>
    </cfRule>
  </conditionalFormatting>
  <conditionalFormatting sqref="I7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:I12">
    <cfRule type="containsText" dxfId="9" priority="75" operator="containsText" text="*-">
      <formula>NOT(ISERROR(SEARCH(("*-"),(H12))))</formula>
    </cfRule>
  </conditionalFormatting>
  <conditionalFormatting sqref="H12:I12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8" priority="73" operator="containsText" text="*-">
      <formula>NOT(ISERROR(SEARCH(("*-"),(I12))))</formula>
    </cfRule>
  </conditionalFormatting>
  <conditionalFormatting sqref="I12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:J14">
    <cfRule type="containsText" dxfId="7" priority="9" operator="containsText" text="*-">
      <formula>NOT(ISERROR(SEARCH(("*-"),(J13))))</formula>
    </cfRule>
  </conditionalFormatting>
  <conditionalFormatting sqref="J13:J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:I13">
    <cfRule type="containsText" dxfId="6" priority="7" operator="containsText" text="*-">
      <formula>NOT(ISERROR(SEARCH(("*-"),(H13))))</formula>
    </cfRule>
  </conditionalFormatting>
  <conditionalFormatting sqref="H13:I1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 J13:J14">
    <cfRule type="containsText" dxfId="5" priority="5" operator="containsText" text="*-">
      <formula>NOT(ISERROR(SEARCH(("*-"),(I13))))</formula>
    </cfRule>
  </conditionalFormatting>
  <conditionalFormatting sqref="J13:J14 I1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:I14">
    <cfRule type="containsText" dxfId="4" priority="3" operator="containsText" text="*-">
      <formula>NOT(ISERROR(SEARCH(("*-"),(H14))))</formula>
    </cfRule>
  </conditionalFormatting>
  <conditionalFormatting sqref="H14:I1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3" priority="1" operator="containsText" text="*-">
      <formula>NOT(ISERROR(SEARCH(("*-"),(I14))))</formula>
    </cfRule>
  </conditionalFormatting>
  <conditionalFormatting sqref="I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0" t="s">
        <v>11</v>
      </c>
      <c r="B1" s="11" t="s">
        <v>12</v>
      </c>
      <c r="C1" s="12" t="s">
        <v>13</v>
      </c>
    </row>
    <row r="2" spans="1:3" ht="15" customHeight="1" x14ac:dyDescent="0.35">
      <c r="A2" s="13">
        <v>1</v>
      </c>
      <c r="B2" s="14" t="s">
        <v>14</v>
      </c>
      <c r="C2" s="15" t="s">
        <v>15</v>
      </c>
    </row>
    <row r="3" spans="1:3" ht="15" customHeight="1" x14ac:dyDescent="0.35">
      <c r="A3" s="13">
        <v>2</v>
      </c>
      <c r="B3" s="14" t="s">
        <v>17</v>
      </c>
      <c r="C3" s="15" t="s">
        <v>16</v>
      </c>
    </row>
    <row r="4" spans="1:3" ht="15" customHeight="1" x14ac:dyDescent="0.35">
      <c r="A4" s="13">
        <v>3</v>
      </c>
      <c r="B4" s="14" t="s">
        <v>18</v>
      </c>
      <c r="C4" s="15" t="s">
        <v>21</v>
      </c>
    </row>
    <row r="5" spans="1:3" ht="15" customHeight="1" x14ac:dyDescent="0.35">
      <c r="A5" s="13">
        <v>4</v>
      </c>
      <c r="B5" s="19" t="s">
        <v>24</v>
      </c>
      <c r="C5" s="15" t="s">
        <v>19</v>
      </c>
    </row>
    <row r="6" spans="1:3" ht="15" customHeight="1" x14ac:dyDescent="0.35">
      <c r="A6" s="13">
        <v>5</v>
      </c>
      <c r="B6" s="14" t="s">
        <v>20</v>
      </c>
      <c r="C6" s="18" t="s">
        <v>22</v>
      </c>
    </row>
    <row r="7" spans="1:3" ht="15" customHeight="1" x14ac:dyDescent="0.35">
      <c r="A7" s="13">
        <v>6</v>
      </c>
      <c r="B7" s="14" t="s">
        <v>20</v>
      </c>
      <c r="C7" s="18" t="s">
        <v>23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7" r:id="rId4" xr:uid="{00000000-0004-0000-0800-000003000000}"/>
    <hyperlink ref="B6" r:id="rId5" xr:uid="{00000000-0004-0000-0800-000004000000}"/>
    <hyperlink ref="B5" r:id="rId6" display="https://coinsplanet.ru/upload/013/u1372/001/9e08e8ac.jpg" xr:uid="{00000000-0004-0000-0800-000005000000}"/>
  </hyperlinks>
  <pageMargins left="0.7" right="0.7" top="0.75" bottom="0.75" header="0.3" footer="0.3"/>
  <pageSetup paperSize="9" orientation="portrait" horizontalDpi="300" verticalDpi="30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2026-03-26T10:20:22Z</dcterms:modified>
</cp:coreProperties>
</file>