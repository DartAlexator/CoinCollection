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Latvia\"/>
    </mc:Choice>
  </mc:AlternateContent>
  <xr:revisionPtr revIDLastSave="0" documentId="13_ncr:1_{A0F1E0F5-5A75-48F2-A4E2-D952B34E9411}" xr6:coauthVersionLast="47" xr6:coauthVersionMax="47" xr10:uidLastSave="{00000000-0000-0000-0000-000000000000}"/>
  <bookViews>
    <workbookView minimized="1" xWindow="20320" yWindow="8630" windowWidth="21070" windowHeight="1496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2A050B41-129B-485F-8B3C-51C4F073FFFD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353C4EC3-9D0F-4086-BBE3-546332E42A4D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606A0EA8-C46E-4AAC-9030-ADD315C8AF3C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J2" authorId="0" shapeId="0" xr:uid="{3172DBF3-E3D8-46AD-A1B1-34556E2649DA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K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L2" authorId="0" shapeId="0" xr:uid="{D0586513-4B23-4DD6-87E2-31F881C55861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M2" authorId="0" shapeId="0" xr:uid="{D2A60C42-AEB0-4226-93FB-2FECE8C2C119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sharedStrings.xml><?xml version="1.0" encoding="utf-8"?>
<sst xmlns="http://schemas.openxmlformats.org/spreadsheetml/2006/main" count="220" uniqueCount="66">
  <si>
    <t>Year</t>
  </si>
  <si>
    <t>Type</t>
  </si>
  <si>
    <t>Mintage</t>
  </si>
  <si>
    <t>2€</t>
  </si>
  <si>
    <t>-</t>
  </si>
  <si>
    <t>№</t>
  </si>
  <si>
    <t>Link</t>
  </si>
  <si>
    <t>Description (single table, table set, mintage, prices):</t>
  </si>
  <si>
    <t>euro-coins</t>
  </si>
  <si>
    <t>Low convenience single table with mintages</t>
  </si>
  <si>
    <t>wiki</t>
  </si>
  <si>
    <t>Low convenience set of tables with mintages</t>
  </si>
  <si>
    <t>skopil</t>
  </si>
  <si>
    <t>Low convenience set of tables with photos</t>
  </si>
  <si>
    <t>en.ucoin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</si>
  <si>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</si>
  <si>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</si>
  <si>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</si>
  <si>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</si>
  <si>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LT</t>
  </si>
  <si>
    <t>507.000</t>
  </si>
  <si>
    <t>512.000</t>
  </si>
  <si>
    <t>509.000</t>
  </si>
  <si>
    <t>1.015.000</t>
  </si>
  <si>
    <t>1.012.000</t>
  </si>
  <si>
    <t xml:space="preserve">1.020.000 </t>
  </si>
  <si>
    <t>1.010.000</t>
  </si>
  <si>
    <t>1.005.000</t>
  </si>
  <si>
    <t>1.025.000</t>
  </si>
  <si>
    <t>Riga - European Capital of Culture 2014</t>
  </si>
  <si>
    <t>Latvian Presidency of the Council of the EU</t>
  </si>
  <si>
    <t>Endangered Species - Black Stork</t>
  </si>
  <si>
    <t>30th Anniversary - European Union flag</t>
  </si>
  <si>
    <t>Latvian agricultural industry</t>
  </si>
  <si>
    <t>Historical Regions of Latvia</t>
  </si>
  <si>
    <t>Vidzeme</t>
  </si>
  <si>
    <t>Latgale</t>
  </si>
  <si>
    <t>100th Anniversary - Baltic States</t>
  </si>
  <si>
    <t>Semigallia</t>
  </si>
  <si>
    <t>Coat of arms of Latvia's rising sun</t>
  </si>
  <si>
    <t>Kurzeme</t>
  </si>
  <si>
    <t>Rev: new map of Europe</t>
  </si>
  <si>
    <t>307.000</t>
  </si>
  <si>
    <t>Ceramic of Latgale</t>
  </si>
  <si>
    <t>412.000</t>
  </si>
  <si>
    <t>NL</t>
  </si>
  <si>
    <t>100th Anniversary - Recognition of the Republic of Latvia</t>
  </si>
  <si>
    <t>Financial Literacy</t>
  </si>
  <si>
    <t>408.000</t>
  </si>
  <si>
    <t>35th Anniversary - Erasmus Programme</t>
  </si>
  <si>
    <t>308.000</t>
  </si>
  <si>
    <t>415.000</t>
  </si>
  <si>
    <t>Ukraine Sunflower</t>
  </si>
  <si>
    <t>Subject</t>
  </si>
  <si>
    <t>Subtype_1#Series</t>
  </si>
  <si>
    <t>Subtype_3#Map_of_Europe</t>
  </si>
  <si>
    <t>Obv: Without mint symbol</t>
  </si>
  <si>
    <t>European Union flag</t>
  </si>
  <si>
    <t>Erasmus Programme</t>
  </si>
  <si>
    <t>The 100th anniversary of the foundation of the independent Baltic states</t>
  </si>
  <si>
    <t>Puzuris - Straw Mobile</t>
  </si>
  <si>
    <t>Sēlija</t>
  </si>
  <si>
    <t>413.000</t>
  </si>
  <si>
    <t>Subtype_2#Special_marks_1</t>
  </si>
  <si>
    <t>F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</si>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</sst>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3" fontId="2" fillId="4" borderId="6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horizontal="center" vertical="center"/>
    </xf>
    <xf numFmtId="0" fontId="6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6" borderId="6" xfId="0" applyNumberFormat="1" applyFont="1" applyFill="1" applyBorder="1" applyAlignment="1">
      <alignment horizontal="center" vertical="center" shrinkToFit="1"/>
    </xf>
    <xf numFmtId="3" fontId="2" fillId="5" borderId="1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49" fontId="4" fillId="3" borderId="7" xfId="0" applyNumberFormat="1" applyFont="1" applyFill="1" applyBorder="1" applyAlignment="1">
      <alignment horizontal="center" vertical="center" shrinkToFit="1"/>
    </xf>
    <xf numFmtId="49" fontId="0" fillId="0" borderId="0" xfId="0" applyNumberForma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7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ucoin.net/catalog/?country=latvia&amp;period=315&amp;type=2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latvi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Normal="100" workbookViewId="0">
      <pane xSplit="14" ySplit="2" topLeftCell="O3" activePane="bottomRight" state="frozen"/>
      <selection pane="topRight" activeCell="F1" sqref="F1"/>
      <selection pane="bottomLeft" activeCell="A3" sqref="A3"/>
      <selection pane="bottomRight" activeCell="N3" sqref="N3"/>
    </sheetView>
  </sheetViews>
  <sheetFormatPr defaultColWidth="9.1796875" defaultRowHeight="15" customHeight="1" x14ac:dyDescent="0.35"/>
  <cols>
    <col min="1" max="1" width="5.6328125" style="7" customWidth="1"/>
    <col min="2" max="2" width="50.6328125" style="7" customWidth="1"/>
    <col min="3" max="5" width="33.6328125" style="7" customWidth="1"/>
    <col min="6" max="9" width="12.6328125" style="7" customWidth="1"/>
    <col min="10" max="13" width="3.6328125" style="7" customWidth="1"/>
    <col min="14" max="14" width="12.6328125" style="7" customWidth="1"/>
    <col min="15" max="16384" width="9.1796875" style="1"/>
  </cols>
  <sheetData>
    <row r="1" spans="1:14" ht="15" customHeight="1" x14ac:dyDescent="0.35">
      <c r="A1" s="25" t="s">
        <v>0</v>
      </c>
      <c r="B1" s="24"/>
      <c r="C1" s="27" t="s">
        <v>1</v>
      </c>
      <c r="D1" s="28"/>
      <c r="E1" s="29"/>
      <c r="F1" s="30" t="s">
        <v>2</v>
      </c>
      <c r="G1" s="31"/>
      <c r="H1" s="31"/>
      <c r="I1" s="32"/>
      <c r="J1" s="33" t="s">
        <v>3</v>
      </c>
      <c r="K1" s="34"/>
      <c r="L1" s="35"/>
      <c r="M1" s="35"/>
      <c r="N1" s="2"/>
    </row>
    <row r="2" spans="1:14" ht="15" customHeight="1" x14ac:dyDescent="0.35">
      <c r="A2" s="26"/>
      <c r="B2" s="24" t="s">
        <v>53</v>
      </c>
      <c r="C2" s="3" t="s">
        <v>54</v>
      </c>
      <c r="D2" s="3" t="s">
        <v>63</v>
      </c>
      <c r="E2" s="3" t="s">
        <v>55</v>
      </c>
      <c r="F2" s="4" t="s">
        <v>64</v>
      </c>
      <c r="G2" s="4" t="s">
        <v>19</v>
      </c>
      <c r="H2" s="4" t="s">
        <v>45</v>
      </c>
      <c r="I2" s="4" t="s">
        <v>65</v>
      </c>
      <c r="J2" s="8" t="s">
        <v>64</v>
      </c>
      <c r="K2" s="8" t="s">
        <v>19</v>
      </c>
      <c r="L2" s="8" t="s">
        <v>45</v>
      </c>
      <c r="M2" s="3" t="s">
        <v>65</v>
      </c>
      <c r="N2" s="2"/>
    </row>
    <row r="3" spans="1:14" ht="15" customHeight="1" x14ac:dyDescent="0.35">
      <c r="A3" s="18">
        <v>2014</v>
      </c>
      <c r="B3" s="23" t="s">
        <v>29</v>
      </c>
      <c r="C3" s="5"/>
      <c r="D3" s="22" t="s">
        <v>56</v>
      </c>
      <c r="E3" s="20" t="s">
        <v>41</v>
      </c>
      <c r="F3" s="16" t="s">
        <v>27</v>
      </c>
      <c r="G3" s="6" t="s">
        <v>4</v>
      </c>
      <c r="H3" s="6" t="s">
        <v>4</v>
      </c>
      <c r="I3" s="6" t="s">
        <v>4</v>
      </c>
      <c r="J3" s="17">
        <v>1</v>
      </c>
      <c r="K3" s="17" t="s">
        <v>4</v>
      </c>
      <c r="L3" s="17" t="s">
        <v>4</v>
      </c>
      <c r="M3" s="17" t="s">
        <v>4</v>
      </c>
      <c r="N3" s="21" t="str">
        <f>IF(OR(AND(J3&gt;1,J3&lt;&gt;"-"),AND(K3&gt;1,K3&lt;&gt;"-"),AND(L3&gt;1,L3&lt;&gt;"-"),AND(M3&gt;1,M3&lt;&gt;"-")),"Can exchange","")</f>
        <v/>
      </c>
    </row>
    <row r="4" spans="1:14" ht="15" customHeight="1" x14ac:dyDescent="0.35">
      <c r="A4" s="19">
        <v>2015</v>
      </c>
      <c r="B4" s="23" t="s">
        <v>31</v>
      </c>
      <c r="C4" s="5"/>
      <c r="D4" s="22" t="s">
        <v>56</v>
      </c>
      <c r="E4" s="20" t="s">
        <v>41</v>
      </c>
      <c r="F4" s="6" t="s">
        <v>4</v>
      </c>
      <c r="G4" s="16" t="s">
        <v>25</v>
      </c>
      <c r="H4" s="6" t="s">
        <v>4</v>
      </c>
      <c r="I4" s="6" t="s">
        <v>4</v>
      </c>
      <c r="J4" s="17" t="s">
        <v>4</v>
      </c>
      <c r="K4" s="17">
        <v>1</v>
      </c>
      <c r="L4" s="17" t="s">
        <v>4</v>
      </c>
      <c r="M4" s="17" t="s">
        <v>4</v>
      </c>
      <c r="N4" s="21" t="str">
        <f t="shared" ref="N4:N20" si="0">IF(OR(AND(J4&gt;1,J4&lt;&gt;"-"),AND(K4&gt;1,K4&lt;&gt;"-"),AND(L4&gt;1,L4&lt;&gt;"-"),AND(M4&gt;1,M4&lt;&gt;"-")),"Can exchange","")</f>
        <v/>
      </c>
    </row>
    <row r="5" spans="1:14" ht="15" customHeight="1" x14ac:dyDescent="0.35">
      <c r="A5" s="19">
        <v>2015</v>
      </c>
      <c r="B5" s="23" t="s">
        <v>32</v>
      </c>
      <c r="C5" s="22" t="s">
        <v>57</v>
      </c>
      <c r="D5" s="22" t="s">
        <v>56</v>
      </c>
      <c r="E5" s="20" t="s">
        <v>41</v>
      </c>
      <c r="F5" s="6" t="s">
        <v>4</v>
      </c>
      <c r="G5" s="6" t="s">
        <v>4</v>
      </c>
      <c r="H5" s="6" t="s">
        <v>4</v>
      </c>
      <c r="I5" s="16" t="s">
        <v>26</v>
      </c>
      <c r="J5" s="17" t="s">
        <v>4</v>
      </c>
      <c r="K5" s="17" t="s">
        <v>4</v>
      </c>
      <c r="L5" s="17" t="s">
        <v>4</v>
      </c>
      <c r="M5" s="17">
        <v>1</v>
      </c>
      <c r="N5" s="21" t="str">
        <f t="shared" si="0"/>
        <v/>
      </c>
    </row>
    <row r="6" spans="1:14" ht="15" customHeight="1" x14ac:dyDescent="0.35">
      <c r="A6" s="19">
        <v>2015</v>
      </c>
      <c r="B6" s="23" t="s">
        <v>30</v>
      </c>
      <c r="C6" s="5"/>
      <c r="D6" s="22" t="s">
        <v>56</v>
      </c>
      <c r="E6" s="20" t="s">
        <v>41</v>
      </c>
      <c r="F6" s="16" t="s">
        <v>28</v>
      </c>
      <c r="G6" s="6" t="s">
        <v>4</v>
      </c>
      <c r="H6" s="6" t="s">
        <v>4</v>
      </c>
      <c r="I6" s="6" t="s">
        <v>4</v>
      </c>
      <c r="J6" s="17">
        <v>1</v>
      </c>
      <c r="K6" s="17" t="s">
        <v>4</v>
      </c>
      <c r="L6" s="17" t="s">
        <v>4</v>
      </c>
      <c r="M6" s="17" t="s">
        <v>4</v>
      </c>
      <c r="N6" s="21" t="str">
        <f t="shared" si="0"/>
        <v/>
      </c>
    </row>
    <row r="7" spans="1:14" ht="15" customHeight="1" x14ac:dyDescent="0.35">
      <c r="A7" s="19">
        <v>2016</v>
      </c>
      <c r="B7" s="23" t="s">
        <v>33</v>
      </c>
      <c r="C7" s="5"/>
      <c r="D7" s="22" t="s">
        <v>56</v>
      </c>
      <c r="E7" s="20" t="s">
        <v>41</v>
      </c>
      <c r="F7" s="6" t="s">
        <v>4</v>
      </c>
      <c r="G7" s="16" t="s">
        <v>23</v>
      </c>
      <c r="H7" s="6" t="s">
        <v>4</v>
      </c>
      <c r="I7" s="6" t="s">
        <v>4</v>
      </c>
      <c r="J7" s="17" t="s">
        <v>4</v>
      </c>
      <c r="K7" s="17">
        <v>1</v>
      </c>
      <c r="L7" s="17" t="s">
        <v>4</v>
      </c>
      <c r="M7" s="17" t="s">
        <v>4</v>
      </c>
      <c r="N7" s="21" t="str">
        <f t="shared" si="0"/>
        <v/>
      </c>
    </row>
    <row r="8" spans="1:14" ht="15" customHeight="1" x14ac:dyDescent="0.35">
      <c r="A8" s="19">
        <v>2016</v>
      </c>
      <c r="B8" s="23" t="s">
        <v>35</v>
      </c>
      <c r="C8" s="5" t="s">
        <v>34</v>
      </c>
      <c r="D8" s="22" t="s">
        <v>56</v>
      </c>
      <c r="E8" s="20" t="s">
        <v>41</v>
      </c>
      <c r="F8" s="6" t="s">
        <v>4</v>
      </c>
      <c r="G8" s="16" t="s">
        <v>24</v>
      </c>
      <c r="H8" s="6" t="s">
        <v>4</v>
      </c>
      <c r="I8" s="6" t="s">
        <v>4</v>
      </c>
      <c r="J8" s="17" t="s">
        <v>4</v>
      </c>
      <c r="K8" s="17">
        <v>2</v>
      </c>
      <c r="L8" s="17" t="s">
        <v>4</v>
      </c>
      <c r="M8" s="17" t="s">
        <v>4</v>
      </c>
      <c r="N8" s="21" t="str">
        <f t="shared" si="0"/>
        <v>Can exchange</v>
      </c>
    </row>
    <row r="9" spans="1:14" ht="15" customHeight="1" x14ac:dyDescent="0.35">
      <c r="A9" s="19">
        <v>2017</v>
      </c>
      <c r="B9" s="23" t="s">
        <v>40</v>
      </c>
      <c r="C9" s="5" t="s">
        <v>34</v>
      </c>
      <c r="D9" s="22" t="s">
        <v>56</v>
      </c>
      <c r="E9" s="20" t="s">
        <v>41</v>
      </c>
      <c r="F9" s="16" t="s">
        <v>22</v>
      </c>
      <c r="G9" s="6" t="s">
        <v>4</v>
      </c>
      <c r="H9" s="6" t="s">
        <v>4</v>
      </c>
      <c r="I9" s="6" t="s">
        <v>4</v>
      </c>
      <c r="J9" s="17">
        <v>1</v>
      </c>
      <c r="K9" s="17" t="s">
        <v>4</v>
      </c>
      <c r="L9" s="17" t="s">
        <v>4</v>
      </c>
      <c r="M9" s="17" t="s">
        <v>4</v>
      </c>
      <c r="N9" s="21" t="str">
        <f t="shared" si="0"/>
        <v/>
      </c>
    </row>
    <row r="10" spans="1:14" ht="15" customHeight="1" x14ac:dyDescent="0.35">
      <c r="A10" s="19">
        <v>2017</v>
      </c>
      <c r="B10" s="23" t="s">
        <v>36</v>
      </c>
      <c r="C10" s="5" t="s">
        <v>34</v>
      </c>
      <c r="D10" s="22" t="s">
        <v>56</v>
      </c>
      <c r="E10" s="20" t="s">
        <v>41</v>
      </c>
      <c r="F10" s="16" t="s">
        <v>22</v>
      </c>
      <c r="G10" s="6" t="s">
        <v>4</v>
      </c>
      <c r="H10" s="6" t="s">
        <v>4</v>
      </c>
      <c r="I10" s="6" t="s">
        <v>4</v>
      </c>
      <c r="J10" s="17">
        <v>1</v>
      </c>
      <c r="K10" s="17" t="s">
        <v>4</v>
      </c>
      <c r="L10" s="17" t="s">
        <v>4</v>
      </c>
      <c r="M10" s="17" t="s">
        <v>4</v>
      </c>
      <c r="N10" s="21" t="str">
        <f t="shared" si="0"/>
        <v/>
      </c>
    </row>
    <row r="11" spans="1:14" ht="15" customHeight="1" x14ac:dyDescent="0.35">
      <c r="A11" s="19">
        <v>2018</v>
      </c>
      <c r="B11" s="23" t="s">
        <v>59</v>
      </c>
      <c r="C11" s="22" t="s">
        <v>37</v>
      </c>
      <c r="D11" s="22" t="s">
        <v>56</v>
      </c>
      <c r="E11" s="20" t="s">
        <v>41</v>
      </c>
      <c r="F11" s="6" t="s">
        <v>4</v>
      </c>
      <c r="G11" s="16" t="s">
        <v>21</v>
      </c>
      <c r="H11" s="6" t="s">
        <v>4</v>
      </c>
      <c r="I11" s="6" t="s">
        <v>4</v>
      </c>
      <c r="J11" s="17" t="s">
        <v>4</v>
      </c>
      <c r="K11" s="17">
        <v>1</v>
      </c>
      <c r="L11" s="17" t="s">
        <v>4</v>
      </c>
      <c r="M11" s="17" t="s">
        <v>4</v>
      </c>
      <c r="N11" s="21" t="str">
        <f t="shared" si="0"/>
        <v/>
      </c>
    </row>
    <row r="12" spans="1:14" ht="15" customHeight="1" x14ac:dyDescent="0.35">
      <c r="A12" s="19">
        <v>2018</v>
      </c>
      <c r="B12" s="23" t="s">
        <v>38</v>
      </c>
      <c r="C12" s="5" t="s">
        <v>34</v>
      </c>
      <c r="D12" s="22" t="s">
        <v>56</v>
      </c>
      <c r="E12" s="20" t="s">
        <v>41</v>
      </c>
      <c r="F12" s="16" t="s">
        <v>20</v>
      </c>
      <c r="G12" s="6" t="s">
        <v>4</v>
      </c>
      <c r="H12" s="6" t="s">
        <v>4</v>
      </c>
      <c r="I12" s="6" t="s">
        <v>4</v>
      </c>
      <c r="J12" s="17">
        <v>2</v>
      </c>
      <c r="K12" s="17" t="s">
        <v>4</v>
      </c>
      <c r="L12" s="17" t="s">
        <v>4</v>
      </c>
      <c r="M12" s="17" t="s">
        <v>4</v>
      </c>
      <c r="N12" s="21" t="str">
        <f t="shared" si="0"/>
        <v>Can exchange</v>
      </c>
    </row>
    <row r="13" spans="1:14" ht="15" customHeight="1" x14ac:dyDescent="0.35">
      <c r="A13" s="19">
        <v>2019</v>
      </c>
      <c r="B13" s="23" t="s">
        <v>39</v>
      </c>
      <c r="C13" s="5" t="s">
        <v>34</v>
      </c>
      <c r="D13" s="22" t="s">
        <v>56</v>
      </c>
      <c r="E13" s="20" t="s">
        <v>41</v>
      </c>
      <c r="F13" s="6" t="s">
        <v>4</v>
      </c>
      <c r="G13" s="6" t="s">
        <v>4</v>
      </c>
      <c r="H13" s="16" t="s">
        <v>42</v>
      </c>
      <c r="I13" s="6" t="s">
        <v>4</v>
      </c>
      <c r="J13" s="17" t="s">
        <v>4</v>
      </c>
      <c r="K13" s="17" t="s">
        <v>4</v>
      </c>
      <c r="L13" s="17">
        <v>1</v>
      </c>
      <c r="M13" s="17" t="s">
        <v>4</v>
      </c>
      <c r="N13" s="21" t="str">
        <f t="shared" si="0"/>
        <v/>
      </c>
    </row>
    <row r="14" spans="1:14" ht="15" customHeight="1" x14ac:dyDescent="0.35">
      <c r="A14" s="19">
        <v>2020</v>
      </c>
      <c r="B14" s="23" t="s">
        <v>43</v>
      </c>
      <c r="C14" s="5"/>
      <c r="D14" s="22" t="s">
        <v>56</v>
      </c>
      <c r="E14" s="20" t="s">
        <v>41</v>
      </c>
      <c r="F14" s="6" t="s">
        <v>4</v>
      </c>
      <c r="G14" s="16" t="s">
        <v>44</v>
      </c>
      <c r="H14" s="6" t="s">
        <v>4</v>
      </c>
      <c r="I14" s="6" t="s">
        <v>4</v>
      </c>
      <c r="J14" s="17" t="s">
        <v>4</v>
      </c>
      <c r="K14" s="17">
        <v>1</v>
      </c>
      <c r="L14" s="17" t="s">
        <v>4</v>
      </c>
      <c r="M14" s="17" t="s">
        <v>4</v>
      </c>
      <c r="N14" s="21" t="str">
        <f t="shared" si="0"/>
        <v/>
      </c>
    </row>
    <row r="15" spans="1:14" ht="15" customHeight="1" x14ac:dyDescent="0.35">
      <c r="A15" s="19">
        <v>2021</v>
      </c>
      <c r="B15" s="23" t="s">
        <v>46</v>
      </c>
      <c r="C15" s="5"/>
      <c r="D15" s="22" t="s">
        <v>56</v>
      </c>
      <c r="E15" s="20" t="s">
        <v>41</v>
      </c>
      <c r="F15" s="16" t="s">
        <v>44</v>
      </c>
      <c r="G15" s="6" t="s">
        <v>4</v>
      </c>
      <c r="H15" s="6" t="s">
        <v>4</v>
      </c>
      <c r="I15" s="6" t="s">
        <v>4</v>
      </c>
      <c r="J15" s="17">
        <v>1</v>
      </c>
      <c r="K15" s="17" t="s">
        <v>4</v>
      </c>
      <c r="L15" s="17" t="s">
        <v>4</v>
      </c>
      <c r="M15" s="17" t="s">
        <v>4</v>
      </c>
      <c r="N15" s="21" t="str">
        <f t="shared" si="0"/>
        <v/>
      </c>
    </row>
    <row r="16" spans="1:14" ht="15" customHeight="1" x14ac:dyDescent="0.35">
      <c r="A16" s="19">
        <v>2022</v>
      </c>
      <c r="B16" s="23" t="s">
        <v>47</v>
      </c>
      <c r="C16" s="5"/>
      <c r="D16" s="22" t="s">
        <v>56</v>
      </c>
      <c r="E16" s="20" t="s">
        <v>41</v>
      </c>
      <c r="F16" s="6" t="s">
        <v>4</v>
      </c>
      <c r="G16" s="16" t="s">
        <v>48</v>
      </c>
      <c r="H16" s="6" t="s">
        <v>4</v>
      </c>
      <c r="I16" s="6" t="s">
        <v>4</v>
      </c>
      <c r="J16" s="17" t="s">
        <v>4</v>
      </c>
      <c r="K16" s="17">
        <v>1</v>
      </c>
      <c r="L16" s="17" t="s">
        <v>4</v>
      </c>
      <c r="M16" s="17" t="s">
        <v>4</v>
      </c>
      <c r="N16" s="21" t="str">
        <f t="shared" si="0"/>
        <v/>
      </c>
    </row>
    <row r="17" spans="1:14" ht="15" customHeight="1" x14ac:dyDescent="0.35">
      <c r="A17" s="19">
        <v>2022</v>
      </c>
      <c r="B17" s="23" t="s">
        <v>49</v>
      </c>
      <c r="C17" s="22" t="s">
        <v>58</v>
      </c>
      <c r="D17" s="22" t="s">
        <v>56</v>
      </c>
      <c r="E17" s="20" t="s">
        <v>41</v>
      </c>
      <c r="F17" s="6" t="s">
        <v>4</v>
      </c>
      <c r="G17" s="16" t="s">
        <v>50</v>
      </c>
      <c r="H17" s="6" t="s">
        <v>4</v>
      </c>
      <c r="I17" s="6" t="s">
        <v>4</v>
      </c>
      <c r="J17" s="17" t="s">
        <v>4</v>
      </c>
      <c r="K17" s="17">
        <v>1</v>
      </c>
      <c r="L17" s="17" t="s">
        <v>4</v>
      </c>
      <c r="M17" s="17" t="s">
        <v>4</v>
      </c>
      <c r="N17" s="21" t="str">
        <f t="shared" si="0"/>
        <v/>
      </c>
    </row>
    <row r="18" spans="1:14" ht="15" customHeight="1" x14ac:dyDescent="0.35">
      <c r="A18" s="19">
        <v>2023</v>
      </c>
      <c r="B18" s="23" t="s">
        <v>52</v>
      </c>
      <c r="C18" s="5"/>
      <c r="D18" s="22" t="s">
        <v>56</v>
      </c>
      <c r="E18" s="20" t="s">
        <v>41</v>
      </c>
      <c r="F18" s="6" t="s">
        <v>4</v>
      </c>
      <c r="G18" s="6" t="s">
        <v>4</v>
      </c>
      <c r="H18" s="16" t="s">
        <v>51</v>
      </c>
      <c r="I18" s="6" t="s">
        <v>4</v>
      </c>
      <c r="J18" s="17" t="s">
        <v>4</v>
      </c>
      <c r="K18" s="17" t="s">
        <v>4</v>
      </c>
      <c r="L18" s="17">
        <v>1</v>
      </c>
      <c r="M18" s="17" t="s">
        <v>4</v>
      </c>
      <c r="N18" s="21" t="str">
        <f t="shared" si="0"/>
        <v/>
      </c>
    </row>
    <row r="19" spans="1:14" ht="15" customHeight="1" x14ac:dyDescent="0.35">
      <c r="A19" s="19">
        <v>2024</v>
      </c>
      <c r="B19" s="23" t="s">
        <v>60</v>
      </c>
      <c r="C19" s="5"/>
      <c r="D19" s="22" t="s">
        <v>56</v>
      </c>
      <c r="E19" s="20" t="s">
        <v>41</v>
      </c>
      <c r="F19" s="6" t="s">
        <v>4</v>
      </c>
      <c r="G19" s="6" t="s">
        <v>4</v>
      </c>
      <c r="H19" s="16" t="s">
        <v>62</v>
      </c>
      <c r="I19" s="6" t="s">
        <v>4</v>
      </c>
      <c r="J19" s="17" t="s">
        <v>4</v>
      </c>
      <c r="K19" s="17" t="s">
        <v>4</v>
      </c>
      <c r="L19" s="17">
        <v>1</v>
      </c>
      <c r="M19" s="17" t="s">
        <v>4</v>
      </c>
      <c r="N19" s="21" t="str">
        <f t="shared" si="0"/>
        <v/>
      </c>
    </row>
    <row r="20" spans="1:14" ht="15" customHeight="1" x14ac:dyDescent="0.35">
      <c r="A20" s="19">
        <v>2025</v>
      </c>
      <c r="B20" s="23" t="s">
        <v>61</v>
      </c>
      <c r="C20" s="5" t="s">
        <v>34</v>
      </c>
      <c r="D20" s="22" t="s">
        <v>56</v>
      </c>
      <c r="E20" s="20" t="s">
        <v>41</v>
      </c>
      <c r="F20" s="6" t="s">
        <v>4</v>
      </c>
      <c r="G20" s="16" t="s">
        <v>62</v>
      </c>
      <c r="H20" s="6" t="s">
        <v>4</v>
      </c>
      <c r="I20" s="6" t="s">
        <v>4</v>
      </c>
      <c r="J20" s="17" t="s">
        <v>4</v>
      </c>
      <c r="K20" s="17">
        <v>1</v>
      </c>
      <c r="L20" s="17" t="s">
        <v>4</v>
      </c>
      <c r="M20" s="17" t="s">
        <v>4</v>
      </c>
      <c r="N20" s="21" t="str">
        <f t="shared" si="0"/>
        <v/>
      </c>
    </row>
  </sheetData>
  <autoFilter ref="B2:I2" xr:uid="{00000000-0001-0000-0000-000000000000}"/>
  <mergeCells count="4">
    <mergeCell ref="A1:A2"/>
    <mergeCell ref="C1:E1"/>
    <mergeCell ref="F1:I1"/>
    <mergeCell ref="J1:M1"/>
  </mergeCells>
  <conditionalFormatting sqref="L14 J7:K11 L7:L12 K12 J3:M6 M7:M20">
    <cfRule type="containsText" dxfId="26" priority="71" operator="containsText" text="*-">
      <formula>NOT(ISERROR(SEARCH(("*-"),(J3))))</formula>
    </cfRule>
  </conditionalFormatting>
  <conditionalFormatting sqref="J7:K11 L14 L7:L12 K12 J3:M6 M7:M20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25" priority="67" operator="containsText" text="*-">
      <formula>NOT(ISERROR(SEARCH(("*-"),(J13))))</formula>
    </cfRule>
  </conditionalFormatting>
  <conditionalFormatting sqref="J13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:K14">
    <cfRule type="containsText" dxfId="24" priority="65" operator="containsText" text="*-">
      <formula>NOT(ISERROR(SEARCH(("*-"),(J14))))</formula>
    </cfRule>
  </conditionalFormatting>
  <conditionalFormatting sqref="J14:K14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3">
    <cfRule type="containsText" dxfId="23" priority="63" operator="containsText" text="*-">
      <formula>NOT(ISERROR(SEARCH(("*-"),(L13))))</formula>
    </cfRule>
  </conditionalFormatting>
  <conditionalFormatting sqref="L13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22" priority="61" operator="containsText" text="*-">
      <formula>NOT(ISERROR(SEARCH(("*-"),(K13))))</formula>
    </cfRule>
  </conditionalFormatting>
  <conditionalFormatting sqref="K1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ntainsText" dxfId="21" priority="57" operator="containsText" text="*-">
      <formula>NOT(ISERROR(SEARCH(("*-"),(K15))))</formula>
    </cfRule>
  </conditionalFormatting>
  <conditionalFormatting sqref="K15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">
    <cfRule type="containsText" dxfId="20" priority="55" operator="containsText" text="*-">
      <formula>NOT(ISERROR(SEARCH(("*-"),(L15))))</formula>
    </cfRule>
  </conditionalFormatting>
  <conditionalFormatting sqref="L15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19" priority="53" operator="containsText" text="*-">
      <formula>NOT(ISERROR(SEARCH(("*-"),(J16))))</formula>
    </cfRule>
  </conditionalFormatting>
  <conditionalFormatting sqref="J16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">
    <cfRule type="containsText" dxfId="18" priority="49" operator="containsText" text="*-">
      <formula>NOT(ISERROR(SEARCH(("*-"),(L16))))</formula>
    </cfRule>
  </conditionalFormatting>
  <conditionalFormatting sqref="L16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17" priority="47" operator="containsText" text="*-">
      <formula>NOT(ISERROR(SEARCH(("*-"),(J17))))</formula>
    </cfRule>
  </conditionalFormatting>
  <conditionalFormatting sqref="J17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7">
    <cfRule type="containsText" dxfId="16" priority="43" operator="containsText" text="*-">
      <formula>NOT(ISERROR(SEARCH(("*-"),(L17))))</formula>
    </cfRule>
  </conditionalFormatting>
  <conditionalFormatting sqref="L17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">
    <cfRule type="containsText" dxfId="15" priority="41" operator="containsText" text="*-">
      <formula>NOT(ISERROR(SEARCH(("*-"),(J18))))</formula>
    </cfRule>
  </conditionalFormatting>
  <conditionalFormatting sqref="J18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14" priority="35" operator="containsText" text="*-">
      <formula>NOT(ISERROR(SEARCH(("*-"),(J15))))</formula>
    </cfRule>
  </conditionalFormatting>
  <conditionalFormatting sqref="J15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ntainsText" dxfId="13" priority="33" operator="containsText" text="*-">
      <formula>NOT(ISERROR(SEARCH(("*-"),(K16))))</formula>
    </cfRule>
  </conditionalFormatting>
  <conditionalFormatting sqref="K1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7">
    <cfRule type="containsText" dxfId="12" priority="31" operator="containsText" text="*-">
      <formula>NOT(ISERROR(SEARCH(("*-"),(K17))))</formula>
    </cfRule>
  </conditionalFormatting>
  <conditionalFormatting sqref="K1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">
    <cfRule type="containsText" dxfId="11" priority="21" operator="containsText" text="*-">
      <formula>NOT(ISERROR(SEARCH(("*-"),(J20))))</formula>
    </cfRule>
  </conditionalFormatting>
  <conditionalFormatting sqref="J2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">
    <cfRule type="containsText" dxfId="10" priority="19" operator="containsText" text="*-">
      <formula>NOT(ISERROR(SEARCH(("*-"),(L20))))</formula>
    </cfRule>
  </conditionalFormatting>
  <conditionalFormatting sqref="L20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ntainsText" dxfId="9" priority="17" operator="containsText" text="*-">
      <formula>NOT(ISERROR(SEARCH(("*-"),(K20))))</formula>
    </cfRule>
  </conditionalFormatting>
  <conditionalFormatting sqref="K20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">
    <cfRule type="containsText" dxfId="8" priority="15" operator="containsText" text="*-">
      <formula>NOT(ISERROR(SEARCH(("*-"),(J19))))</formula>
    </cfRule>
  </conditionalFormatting>
  <conditionalFormatting sqref="J1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7" priority="9" operator="containsText" text="*-">
      <formula>NOT(ISERROR(SEARCH(("*-"),(J12))))</formula>
    </cfRule>
  </conditionalFormatting>
  <conditionalFormatting sqref="J1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">
    <cfRule type="containsText" dxfId="6" priority="7" operator="containsText" text="*-">
      <formula>NOT(ISERROR(SEARCH(("*-"),(L18))))</formula>
    </cfRule>
  </conditionalFormatting>
  <conditionalFormatting sqref="L1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9">
    <cfRule type="containsText" dxfId="5" priority="5" operator="containsText" text="*-">
      <formula>NOT(ISERROR(SEARCH(("*-"),(L19))))</formula>
    </cfRule>
  </conditionalFormatting>
  <conditionalFormatting sqref="L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">
    <cfRule type="containsText" dxfId="4" priority="3" operator="containsText" text="*-">
      <formula>NOT(ISERROR(SEARCH(("*-"),(K18))))</formula>
    </cfRule>
  </conditionalFormatting>
  <conditionalFormatting sqref="K1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9">
    <cfRule type="containsText" dxfId="3" priority="1" operator="containsText" text="*-">
      <formula>NOT(ISERROR(SEARCH(("*-"),(K19))))</formula>
    </cfRule>
  </conditionalFormatting>
  <conditionalFormatting sqref="K1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9" t="s">
        <v>5</v>
      </c>
      <c r="B1" s="10" t="s">
        <v>6</v>
      </c>
      <c r="C1" s="11" t="s">
        <v>7</v>
      </c>
    </row>
    <row r="2" spans="1:3" x14ac:dyDescent="0.35">
      <c r="A2" s="12">
        <v>1</v>
      </c>
      <c r="B2" s="13" t="s">
        <v>8</v>
      </c>
      <c r="C2" s="14" t="s">
        <v>9</v>
      </c>
    </row>
    <row r="3" spans="1:3" x14ac:dyDescent="0.35">
      <c r="A3" s="12">
        <v>2</v>
      </c>
      <c r="B3" s="13" t="s">
        <v>10</v>
      </c>
      <c r="C3" s="14" t="s">
        <v>11</v>
      </c>
    </row>
    <row r="4" spans="1:3" x14ac:dyDescent="0.35">
      <c r="A4" s="12">
        <v>3</v>
      </c>
      <c r="B4" s="13" t="s">
        <v>12</v>
      </c>
      <c r="C4" s="14" t="s">
        <v>13</v>
      </c>
    </row>
    <row r="5" spans="1:3" x14ac:dyDescent="0.35">
      <c r="A5" s="12">
        <v>4</v>
      </c>
      <c r="B5" s="13" t="s">
        <v>14</v>
      </c>
      <c r="C5" s="14" t="s">
        <v>15</v>
      </c>
    </row>
    <row r="6" spans="1:3" x14ac:dyDescent="0.35">
      <c r="A6" s="12">
        <v>5</v>
      </c>
      <c r="B6" s="13" t="s">
        <v>16</v>
      </c>
      <c r="C6" s="15" t="s">
        <v>17</v>
      </c>
    </row>
    <row r="7" spans="1:3" x14ac:dyDescent="0.35">
      <c r="A7" s="12">
        <v>6</v>
      </c>
      <c r="B7" s="13" t="s">
        <v>16</v>
      </c>
      <c r="C7" s="15" t="s">
        <v>18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2026-02-12T13:47:39Z</dcterms:modified>
</cp:coreProperties>
</file>