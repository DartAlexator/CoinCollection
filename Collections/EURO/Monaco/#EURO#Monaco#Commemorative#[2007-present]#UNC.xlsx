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Monaco\"/>
    </mc:Choice>
  </mc:AlternateContent>
  <xr:revisionPtr revIDLastSave="0" documentId="13_ncr:1_{AC76BB22-62D0-4DDA-AF11-84525D60F569}" xr6:coauthVersionLast="47" xr6:coauthVersionMax="47" xr10:uidLastSave="{00000000-0000-0000-0000-000000000000}"/>
  <bookViews>
    <workbookView xWindow="4170" yWindow="1430" windowWidth="33150" windowHeight="1756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2" i="1" l="1"/>
  <c r="I21" i="1"/>
  <c r="I18" i="1"/>
  <c r="I19" i="1"/>
  <c r="I20" i="1"/>
  <c r="I17" i="1"/>
  <c r="I10" i="1" l="1"/>
  <c r="I11" i="1"/>
  <c r="I3" i="1"/>
  <c r="I4" i="1"/>
  <c r="I5" i="1"/>
  <c r="I6" i="1"/>
  <c r="I13" i="1" l="1"/>
  <c r="I7" i="1" l="1"/>
  <c r="I9" i="1"/>
  <c r="I16" i="1" l="1"/>
  <c r="I15" i="1"/>
  <c r="I14" i="1"/>
  <c r="I12" i="1"/>
  <c r="I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H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sharedStrings.xml><?xml version="1.0" encoding="utf-8"?>
<sst xmlns="http://schemas.openxmlformats.org/spreadsheetml/2006/main" count="146" uniqueCount="54">
  <si>
    <t>Year</t>
  </si>
  <si>
    <t>Type</t>
  </si>
  <si>
    <t>Mintage</t>
  </si>
  <si>
    <t>2€</t>
  </si>
  <si>
    <t>-</t>
  </si>
  <si>
    <t>№</t>
  </si>
  <si>
    <t>euro-coins</t>
  </si>
  <si>
    <t>wiki</t>
  </si>
  <si>
    <t>skopil</t>
  </si>
  <si>
    <t>Link</t>
  </si>
  <si>
    <t>Description (single table, table set, mintage, prices):</t>
  </si>
  <si>
    <t>Low convenience single table with mintages</t>
  </si>
  <si>
    <t>en.ucoin</t>
  </si>
  <si>
    <t>Low convenience set of tables with mintages</t>
  </si>
  <si>
    <t>Low convenience set of tables with photos</t>
  </si>
  <si>
    <t>Low convenience single table with varieties and mintages and photos</t>
  </si>
  <si>
    <t>eurocollection</t>
  </si>
  <si>
    <t>High convenience single table of varieties with photos</t>
  </si>
  <si>
    <t>High convenience set of tables table of actual coins with photos</t>
  </si>
  <si>
    <t>N/A</t>
  </si>
  <si>
    <t>FR</t>
  </si>
  <si>
    <t>20.000</t>
  </si>
  <si>
    <t>147.877</t>
  </si>
  <si>
    <t>110.000</t>
  </si>
  <si>
    <t>1.249.131</t>
  </si>
  <si>
    <t>10.000</t>
  </si>
  <si>
    <t>15.000</t>
  </si>
  <si>
    <t>16.000</t>
  </si>
  <si>
    <t>25th Anniversary - Death of Princess Grace</t>
  </si>
  <si>
    <t>Wedding of Prince Albert and Charlene Wittstock</t>
  </si>
  <si>
    <t>500th Anniversary - Foundation of Monaco's Sovereignty</t>
  </si>
  <si>
    <t>20th Anniversary - Admission to the United Nations</t>
  </si>
  <si>
    <t>800th Anniversary - Foundation of the Fortress</t>
  </si>
  <si>
    <t>150th Anniversary - Foundation of Monte Carlo</t>
  </si>
  <si>
    <t>200th Anniversary - Compagnie des Carabiniers du Prince</t>
  </si>
  <si>
    <t>250th anniversary - Birth of François-Joseph Bosio</t>
  </si>
  <si>
    <t>200th anniversary - Accession to the Throne of Prince Honoré V</t>
  </si>
  <si>
    <t>Obv: Mint symbol - Cornucopia, positioning far from portrait</t>
  </si>
  <si>
    <t>Obv: With mint symbol - Cornucopia</t>
  </si>
  <si>
    <t>Obv: Mint director Symbol - French horn</t>
  </si>
  <si>
    <t>Obv: Mint director Symbol - Pentagon</t>
  </si>
  <si>
    <t>Rev: new map of Europe</t>
  </si>
  <si>
    <t>300 years since the birth of Honoré III</t>
  </si>
  <si>
    <t>100th anniversary - Death of Prince Albert I</t>
  </si>
  <si>
    <t>10th anniversary - Wedding of Albert II</t>
  </si>
  <si>
    <t>100th anniversary - Birth of Prince Rainier</t>
  </si>
  <si>
    <t>Obv: Mint main engraving Symbol - Square</t>
  </si>
  <si>
    <t>Subject</t>
  </si>
  <si>
    <t>Subtype_1#Series</t>
  </si>
  <si>
    <t>Subtype_3#Map_of_Europe</t>
  </si>
  <si>
    <t>500 years of the contract with Charles V</t>
  </si>
  <si>
    <t>Subtype_2#Special_marks_1</t>
  </si>
  <si>
    <t>Subtype_4#Special_marks_2</t>
  </si>
  <si>
    <t>County of Carladès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</si>
</sst>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7030A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4" fillId="3" borderId="1" xfId="0" applyFont="1" applyFill="1" applyBorder="1" applyAlignment="1">
      <alignment horizontal="center"/>
    </xf>
    <xf numFmtId="0" fontId="5" fillId="0" borderId="0" xfId="1"/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shrinkToFit="1"/>
    </xf>
    <xf numFmtId="3" fontId="2" fillId="6" borderId="1" xfId="0" applyNumberFormat="1" applyFont="1" applyFill="1" applyBorder="1" applyAlignment="1">
      <alignment horizontal="center" vertical="center" shrinkToFit="1"/>
    </xf>
    <xf numFmtId="3" fontId="2" fillId="4" borderId="1" xfId="0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0" fillId="0" borderId="0" xfId="0" applyFont="1" applyAlignment="1"/>
    <xf numFmtId="0" fontId="0" fillId="0" borderId="0" xfId="0" applyAlignment="1">
      <alignment horizontal="center" vertical="center"/>
    </xf>
    <xf numFmtId="0" fontId="7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wrapText="1"/>
    </xf>
    <xf numFmtId="49" fontId="4" fillId="3" borderId="1" xfId="0" applyNumberFormat="1" applyFont="1" applyFill="1" applyBorder="1" applyAlignment="1">
      <alignment horizontal="center" vertical="center" shrinkToFit="1"/>
    </xf>
    <xf numFmtId="3" fontId="2" fillId="4" borderId="5" xfId="0" applyNumberFormat="1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center" vertical="center" shrinkToFit="1"/>
    </xf>
    <xf numFmtId="0" fontId="0" fillId="0" borderId="5" xfId="0" applyBorder="1" applyAlignment="1">
      <alignment horizontal="center"/>
    </xf>
    <xf numFmtId="3" fontId="8" fillId="2" borderId="1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 vertical="center" shrinkToFit="1"/>
    </xf>
    <xf numFmtId="0" fontId="10" fillId="8" borderId="5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1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en.ucoin.net/catalog/?country=monaco&amp;period=319&amp;type=2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monaco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zoomScaleNormal="100" workbookViewId="0">
      <pane xSplit="9" ySplit="2" topLeftCell="J3" activePane="bottomRight" state="frozen"/>
      <selection pane="topRight" activeCell="F1" sqref="F1"/>
      <selection pane="bottomLeft" activeCell="A3" sqref="A3"/>
      <selection pane="bottomRight" activeCell="H22" sqref="H22"/>
    </sheetView>
  </sheetViews>
  <sheetFormatPr defaultColWidth="9.1796875" defaultRowHeight="15" customHeight="1" x14ac:dyDescent="0.35"/>
  <cols>
    <col min="1" max="1" width="5.6328125" style="12" customWidth="1"/>
    <col min="2" max="2" width="50.6328125" style="12" customWidth="1"/>
    <col min="3" max="6" width="33.6328125" style="12" customWidth="1"/>
    <col min="7" max="7" width="12.6328125" style="12" customWidth="1"/>
    <col min="8" max="8" width="3.6328125" style="12" customWidth="1"/>
    <col min="9" max="9" width="12.6328125" style="12" customWidth="1"/>
    <col min="10" max="10" width="14.26953125" style="1" customWidth="1"/>
    <col min="11" max="16384" width="9.1796875" style="1"/>
  </cols>
  <sheetData>
    <row r="1" spans="1:10" ht="15" customHeight="1" x14ac:dyDescent="0.35">
      <c r="A1" s="29" t="s">
        <v>0</v>
      </c>
      <c r="B1" s="26"/>
      <c r="C1" s="31" t="s">
        <v>1</v>
      </c>
      <c r="D1" s="31"/>
      <c r="E1" s="31"/>
      <c r="F1" s="32"/>
      <c r="G1" s="3" t="s">
        <v>2</v>
      </c>
      <c r="H1" s="20" t="s">
        <v>3</v>
      </c>
      <c r="I1" s="4"/>
    </row>
    <row r="2" spans="1:10" ht="15" customHeight="1" x14ac:dyDescent="0.35">
      <c r="A2" s="30"/>
      <c r="B2" s="26" t="s">
        <v>47</v>
      </c>
      <c r="C2" s="5" t="s">
        <v>48</v>
      </c>
      <c r="D2" s="5" t="s">
        <v>51</v>
      </c>
      <c r="E2" s="5" t="s">
        <v>49</v>
      </c>
      <c r="F2" s="5" t="s">
        <v>52</v>
      </c>
      <c r="G2" s="6" t="s">
        <v>20</v>
      </c>
      <c r="H2" s="21" t="s">
        <v>20</v>
      </c>
      <c r="I2" s="4"/>
    </row>
    <row r="3" spans="1:10" ht="15" customHeight="1" x14ac:dyDescent="0.35">
      <c r="A3" s="22">
        <v>2007</v>
      </c>
      <c r="B3" s="7" t="s">
        <v>28</v>
      </c>
      <c r="C3" s="8"/>
      <c r="D3" s="8" t="s">
        <v>38</v>
      </c>
      <c r="E3" s="8" t="s">
        <v>41</v>
      </c>
      <c r="F3" s="8" t="s">
        <v>39</v>
      </c>
      <c r="G3" s="25" t="s">
        <v>21</v>
      </c>
      <c r="H3" s="24" t="s">
        <v>4</v>
      </c>
      <c r="I3" s="11" t="str">
        <f t="shared" ref="I3:I6" si="0">IF(OR(AND(H3&gt;1,H3&lt;&gt;"-")),"Can exchange","")</f>
        <v/>
      </c>
    </row>
    <row r="4" spans="1:10" ht="15" customHeight="1" x14ac:dyDescent="0.35">
      <c r="A4" s="22">
        <v>2008</v>
      </c>
      <c r="B4" s="23" t="s">
        <v>4</v>
      </c>
      <c r="C4" s="23" t="s">
        <v>4</v>
      </c>
      <c r="D4" s="23" t="s">
        <v>4</v>
      </c>
      <c r="E4" s="23" t="s">
        <v>4</v>
      </c>
      <c r="F4" s="23" t="s">
        <v>4</v>
      </c>
      <c r="G4" s="23" t="s">
        <v>4</v>
      </c>
      <c r="H4" s="24" t="s">
        <v>4</v>
      </c>
      <c r="I4" s="11" t="str">
        <f t="shared" si="0"/>
        <v/>
      </c>
    </row>
    <row r="5" spans="1:10" ht="15" customHeight="1" x14ac:dyDescent="0.35">
      <c r="A5" s="22">
        <v>2009</v>
      </c>
      <c r="B5" s="23" t="s">
        <v>4</v>
      </c>
      <c r="C5" s="23" t="s">
        <v>4</v>
      </c>
      <c r="D5" s="23" t="s">
        <v>4</v>
      </c>
      <c r="E5" s="23" t="s">
        <v>4</v>
      </c>
      <c r="F5" s="23" t="s">
        <v>4</v>
      </c>
      <c r="G5" s="23" t="s">
        <v>4</v>
      </c>
      <c r="H5" s="24" t="s">
        <v>4</v>
      </c>
      <c r="I5" s="11" t="str">
        <f t="shared" si="0"/>
        <v/>
      </c>
    </row>
    <row r="6" spans="1:10" ht="15" customHeight="1" x14ac:dyDescent="0.35">
      <c r="A6" s="22">
        <v>2010</v>
      </c>
      <c r="B6" s="23" t="s">
        <v>4</v>
      </c>
      <c r="C6" s="23" t="s">
        <v>4</v>
      </c>
      <c r="D6" s="23" t="s">
        <v>4</v>
      </c>
      <c r="E6" s="23" t="s">
        <v>4</v>
      </c>
      <c r="F6" s="23" t="s">
        <v>4</v>
      </c>
      <c r="G6" s="23" t="s">
        <v>4</v>
      </c>
      <c r="H6" s="24" t="s">
        <v>4</v>
      </c>
      <c r="I6" s="11" t="str">
        <f t="shared" si="0"/>
        <v/>
      </c>
    </row>
    <row r="7" spans="1:10" ht="15" customHeight="1" x14ac:dyDescent="0.35">
      <c r="A7" s="22">
        <v>2011</v>
      </c>
      <c r="B7" s="7" t="s">
        <v>29</v>
      </c>
      <c r="C7" s="8"/>
      <c r="D7" s="8" t="s">
        <v>38</v>
      </c>
      <c r="E7" s="8" t="s">
        <v>41</v>
      </c>
      <c r="F7" s="8" t="s">
        <v>40</v>
      </c>
      <c r="G7" s="9" t="s">
        <v>22</v>
      </c>
      <c r="H7" s="10">
        <v>0</v>
      </c>
      <c r="I7" s="11" t="str">
        <f t="shared" ref="I7:I16" si="1">IF(OR(AND(H7&gt;1,H7&lt;&gt;"-")),"Can exchange","")</f>
        <v/>
      </c>
    </row>
    <row r="8" spans="1:10" ht="15" customHeight="1" x14ac:dyDescent="0.35">
      <c r="A8" s="22">
        <v>2012</v>
      </c>
      <c r="B8" s="7" t="s">
        <v>30</v>
      </c>
      <c r="C8" s="8"/>
      <c r="D8" s="8" t="s">
        <v>38</v>
      </c>
      <c r="E8" s="8" t="s">
        <v>41</v>
      </c>
      <c r="F8" s="8" t="s">
        <v>40</v>
      </c>
      <c r="G8" s="9" t="s">
        <v>23</v>
      </c>
      <c r="H8" s="10">
        <v>0</v>
      </c>
      <c r="I8" s="11" t="str">
        <f t="shared" si="1"/>
        <v/>
      </c>
    </row>
    <row r="9" spans="1:10" ht="15" customHeight="1" x14ac:dyDescent="0.35">
      <c r="A9" s="22">
        <v>2013</v>
      </c>
      <c r="B9" s="7" t="s">
        <v>31</v>
      </c>
      <c r="C9" s="8"/>
      <c r="D9" s="8" t="s">
        <v>38</v>
      </c>
      <c r="E9" s="8" t="s">
        <v>41</v>
      </c>
      <c r="F9" s="8" t="s">
        <v>40</v>
      </c>
      <c r="G9" s="9" t="s">
        <v>24</v>
      </c>
      <c r="H9" s="10">
        <v>0</v>
      </c>
      <c r="I9" s="11" t="str">
        <f t="shared" si="1"/>
        <v/>
      </c>
    </row>
    <row r="10" spans="1:10" ht="15" customHeight="1" x14ac:dyDescent="0.35">
      <c r="A10" s="22">
        <v>2013</v>
      </c>
      <c r="B10" s="7" t="s">
        <v>31</v>
      </c>
      <c r="C10" s="8"/>
      <c r="D10" s="8" t="s">
        <v>37</v>
      </c>
      <c r="E10" s="8" t="s">
        <v>41</v>
      </c>
      <c r="F10" s="8" t="s">
        <v>40</v>
      </c>
      <c r="G10" s="27" t="s">
        <v>19</v>
      </c>
      <c r="H10" s="24" t="s">
        <v>4</v>
      </c>
      <c r="I10" s="11" t="str">
        <f t="shared" ref="I10" si="2">IF(OR(AND(H10&gt;1,H10&lt;&gt;"-")),"Can exchange","")</f>
        <v/>
      </c>
    </row>
    <row r="11" spans="1:10" ht="15" customHeight="1" x14ac:dyDescent="0.35">
      <c r="A11" s="22">
        <v>2014</v>
      </c>
      <c r="B11" s="23" t="s">
        <v>4</v>
      </c>
      <c r="C11" s="23" t="s">
        <v>4</v>
      </c>
      <c r="D11" s="23" t="s">
        <v>4</v>
      </c>
      <c r="E11" s="23" t="s">
        <v>4</v>
      </c>
      <c r="F11" s="23" t="s">
        <v>4</v>
      </c>
      <c r="G11" s="23" t="s">
        <v>4</v>
      </c>
      <c r="H11" s="24" t="s">
        <v>4</v>
      </c>
      <c r="I11" s="11" t="str">
        <f t="shared" ref="I11" si="3">IF(OR(AND(H11&gt;1,H11&lt;&gt;"-")),"Can exchange","")</f>
        <v/>
      </c>
    </row>
    <row r="12" spans="1:10" ht="15" customHeight="1" x14ac:dyDescent="0.35">
      <c r="A12" s="22">
        <v>2015</v>
      </c>
      <c r="B12" s="7" t="s">
        <v>32</v>
      </c>
      <c r="C12" s="8"/>
      <c r="D12" s="8" t="s">
        <v>38</v>
      </c>
      <c r="E12" s="8" t="s">
        <v>41</v>
      </c>
      <c r="F12" s="8" t="s">
        <v>40</v>
      </c>
      <c r="G12" s="25" t="s">
        <v>25</v>
      </c>
      <c r="H12" s="24" t="s">
        <v>4</v>
      </c>
      <c r="I12" s="11" t="str">
        <f t="shared" si="1"/>
        <v/>
      </c>
      <c r="J12" s="2"/>
    </row>
    <row r="13" spans="1:10" ht="15" customHeight="1" x14ac:dyDescent="0.35">
      <c r="A13" s="22">
        <v>2016</v>
      </c>
      <c r="B13" s="7" t="s">
        <v>33</v>
      </c>
      <c r="C13" s="8"/>
      <c r="D13" s="8" t="s">
        <v>38</v>
      </c>
      <c r="E13" s="8" t="s">
        <v>41</v>
      </c>
      <c r="F13" s="8" t="s">
        <v>40</v>
      </c>
      <c r="G13" s="25" t="s">
        <v>26</v>
      </c>
      <c r="H13" s="24" t="s">
        <v>4</v>
      </c>
      <c r="I13" s="11" t="str">
        <f t="shared" ref="I13" si="4">IF(OR(AND(H13&gt;1,H13&lt;&gt;"-")),"Can exchange","")</f>
        <v/>
      </c>
      <c r="J13" s="2"/>
    </row>
    <row r="14" spans="1:10" ht="15" customHeight="1" x14ac:dyDescent="0.35">
      <c r="A14" s="22">
        <v>2017</v>
      </c>
      <c r="B14" s="7" t="s">
        <v>34</v>
      </c>
      <c r="C14" s="8"/>
      <c r="D14" s="8" t="s">
        <v>38</v>
      </c>
      <c r="E14" s="8" t="s">
        <v>41</v>
      </c>
      <c r="F14" s="8" t="s">
        <v>40</v>
      </c>
      <c r="G14" s="25" t="s">
        <v>26</v>
      </c>
      <c r="H14" s="24" t="s">
        <v>4</v>
      </c>
      <c r="I14" s="11" t="str">
        <f t="shared" si="1"/>
        <v/>
      </c>
    </row>
    <row r="15" spans="1:10" ht="15" customHeight="1" x14ac:dyDescent="0.35">
      <c r="A15" s="22">
        <v>2018</v>
      </c>
      <c r="B15" s="7" t="s">
        <v>35</v>
      </c>
      <c r="C15" s="8"/>
      <c r="D15" s="8" t="s">
        <v>38</v>
      </c>
      <c r="E15" s="8" t="s">
        <v>41</v>
      </c>
      <c r="F15" s="8" t="s">
        <v>40</v>
      </c>
      <c r="G15" s="25" t="s">
        <v>27</v>
      </c>
      <c r="H15" s="24" t="s">
        <v>4</v>
      </c>
      <c r="I15" s="11" t="str">
        <f t="shared" si="1"/>
        <v/>
      </c>
    </row>
    <row r="16" spans="1:10" ht="15" customHeight="1" x14ac:dyDescent="0.35">
      <c r="A16" s="22">
        <v>2019</v>
      </c>
      <c r="B16" s="7" t="s">
        <v>36</v>
      </c>
      <c r="C16" s="8"/>
      <c r="D16" s="8" t="s">
        <v>38</v>
      </c>
      <c r="E16" s="8" t="s">
        <v>41</v>
      </c>
      <c r="F16" s="8" t="s">
        <v>40</v>
      </c>
      <c r="G16" s="25" t="s">
        <v>26</v>
      </c>
      <c r="H16" s="24" t="s">
        <v>4</v>
      </c>
      <c r="I16" s="11" t="str">
        <f t="shared" si="1"/>
        <v/>
      </c>
    </row>
    <row r="17" spans="1:9" ht="15" customHeight="1" x14ac:dyDescent="0.35">
      <c r="A17" s="22">
        <v>2020</v>
      </c>
      <c r="B17" s="7" t="s">
        <v>42</v>
      </c>
      <c r="C17" s="8"/>
      <c r="D17" s="8" t="s">
        <v>38</v>
      </c>
      <c r="E17" s="8" t="s">
        <v>41</v>
      </c>
      <c r="F17" s="8" t="s">
        <v>40</v>
      </c>
      <c r="G17" s="25" t="s">
        <v>26</v>
      </c>
      <c r="H17" s="24" t="s">
        <v>4</v>
      </c>
      <c r="I17" s="11" t="str">
        <f t="shared" ref="I17:I18" si="5">IF(OR(AND(H17&gt;1,H17&lt;&gt;"-")),"Can exchange","")</f>
        <v/>
      </c>
    </row>
    <row r="18" spans="1:9" ht="15" customHeight="1" x14ac:dyDescent="0.35">
      <c r="A18" s="22">
        <v>2021</v>
      </c>
      <c r="B18" s="7" t="s">
        <v>44</v>
      </c>
      <c r="C18" s="8"/>
      <c r="D18" s="8" t="s">
        <v>38</v>
      </c>
      <c r="E18" s="8" t="s">
        <v>41</v>
      </c>
      <c r="F18" s="8" t="s">
        <v>46</v>
      </c>
      <c r="G18" s="25" t="s">
        <v>26</v>
      </c>
      <c r="H18" s="24" t="s">
        <v>4</v>
      </c>
      <c r="I18" s="11" t="str">
        <f t="shared" si="5"/>
        <v/>
      </c>
    </row>
    <row r="19" spans="1:9" ht="15" customHeight="1" x14ac:dyDescent="0.35">
      <c r="A19" s="22">
        <v>2022</v>
      </c>
      <c r="B19" s="7" t="s">
        <v>43</v>
      </c>
      <c r="C19" s="8"/>
      <c r="D19" s="8" t="s">
        <v>38</v>
      </c>
      <c r="E19" s="8" t="s">
        <v>41</v>
      </c>
      <c r="F19" s="8" t="s">
        <v>46</v>
      </c>
      <c r="G19" s="25" t="s">
        <v>26</v>
      </c>
      <c r="H19" s="24" t="s">
        <v>4</v>
      </c>
      <c r="I19" s="11" t="str">
        <f t="shared" ref="I19:I21" si="6">IF(OR(AND(H19&gt;1,H19&lt;&gt;"-")),"Can exchange","")</f>
        <v/>
      </c>
    </row>
    <row r="20" spans="1:9" ht="15" customHeight="1" x14ac:dyDescent="0.35">
      <c r="A20" s="22">
        <v>2023</v>
      </c>
      <c r="B20" s="7" t="s">
        <v>45</v>
      </c>
      <c r="C20" s="8"/>
      <c r="D20" s="8" t="s">
        <v>38</v>
      </c>
      <c r="E20" s="8" t="s">
        <v>41</v>
      </c>
      <c r="F20" s="8" t="s">
        <v>46</v>
      </c>
      <c r="G20" s="25" t="s">
        <v>26</v>
      </c>
      <c r="H20" s="24" t="s">
        <v>4</v>
      </c>
      <c r="I20" s="11" t="str">
        <f t="shared" si="6"/>
        <v/>
      </c>
    </row>
    <row r="21" spans="1:9" ht="15" customHeight="1" x14ac:dyDescent="0.35">
      <c r="A21" s="22">
        <v>2024</v>
      </c>
      <c r="B21" s="7" t="s">
        <v>50</v>
      </c>
      <c r="C21" s="8"/>
      <c r="D21" s="8" t="s">
        <v>38</v>
      </c>
      <c r="E21" s="8" t="s">
        <v>41</v>
      </c>
      <c r="F21" s="8" t="s">
        <v>46</v>
      </c>
      <c r="G21" s="25" t="s">
        <v>26</v>
      </c>
      <c r="H21" s="24" t="s">
        <v>4</v>
      </c>
      <c r="I21" s="11" t="str">
        <f t="shared" si="6"/>
        <v/>
      </c>
    </row>
    <row r="22" spans="1:9" ht="15" customHeight="1" x14ac:dyDescent="0.35">
      <c r="A22" s="22">
        <v>2025</v>
      </c>
      <c r="B22" s="7" t="s">
        <v>53</v>
      </c>
      <c r="C22" s="8"/>
      <c r="D22" s="8" t="s">
        <v>38</v>
      </c>
      <c r="E22" s="8" t="s">
        <v>41</v>
      </c>
      <c r="F22" s="8" t="s">
        <v>46</v>
      </c>
      <c r="G22" s="25" t="s">
        <v>26</v>
      </c>
      <c r="H22" s="28">
        <v>1</v>
      </c>
      <c r="I22" s="11" t="str">
        <f t="shared" ref="I22" si="7">IF(OR(AND(H22&gt;1,H22&lt;&gt;"-")),"Can exchange","")</f>
        <v/>
      </c>
    </row>
  </sheetData>
  <autoFilter ref="B2:F2" xr:uid="{00000000-0001-0000-0000-000000000000}"/>
  <mergeCells count="2">
    <mergeCell ref="A1:A2"/>
    <mergeCell ref="C1:F1"/>
  </mergeCells>
  <phoneticPr fontId="9" type="noConversion"/>
  <conditionalFormatting sqref="H7:H9">
    <cfRule type="containsText" dxfId="10" priority="25" operator="containsText" text="*-">
      <formula>NOT(ISERROR(SEARCH(("*-"),(H7))))</formula>
    </cfRule>
  </conditionalFormatting>
  <conditionalFormatting sqref="H7:H9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9" priority="13" operator="containsText" text="*-">
      <formula>NOT(ISERROR(SEARCH(("*-"),(H11))))</formula>
    </cfRule>
  </conditionalFormatting>
  <conditionalFormatting sqref="H1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8" priority="11" operator="containsText" text="*-">
      <formula>NOT(ISERROR(SEARCH(("*-"),(H3))))</formula>
    </cfRule>
  </conditionalFormatting>
  <conditionalFormatting sqref="H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:H16 H18 H20 H22">
    <cfRule type="containsText" dxfId="7" priority="9" operator="containsText" text="*-">
      <formula>NOT(ISERROR(SEARCH(("*-"),(H12))))</formula>
    </cfRule>
  </conditionalFormatting>
  <conditionalFormatting sqref="H12:H16 H18 H20 H2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H6">
    <cfRule type="containsText" dxfId="6" priority="15" operator="containsText" text="*-">
      <formula>NOT(ISERROR(SEARCH(("*-"),(H4))))</formula>
    </cfRule>
  </conditionalFormatting>
  <conditionalFormatting sqref="H4:H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 H19">
    <cfRule type="containsText" dxfId="5" priority="5" operator="containsText" text="*-">
      <formula>NOT(ISERROR(SEARCH(("*-"),(H17))))</formula>
    </cfRule>
  </conditionalFormatting>
  <conditionalFormatting sqref="H19 H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">
    <cfRule type="containsText" dxfId="4" priority="3" operator="containsText" text="*-">
      <formula>NOT(ISERROR(SEARCH(("*-"),(H10))))</formula>
    </cfRule>
  </conditionalFormatting>
  <conditionalFormatting sqref="H1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3" priority="1" operator="containsText" text="*-">
      <formula>NOT(ISERROR(SEARCH(("*-"),(H21))))</formula>
    </cfRule>
  </conditionalFormatting>
  <conditionalFormatting sqref="H2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7" sqref="B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6" t="s">
        <v>5</v>
      </c>
      <c r="B1" s="17" t="s">
        <v>9</v>
      </c>
      <c r="C1" s="18" t="s">
        <v>10</v>
      </c>
    </row>
    <row r="2" spans="1:3" ht="15" customHeight="1" x14ac:dyDescent="0.35">
      <c r="A2" s="13">
        <v>1</v>
      </c>
      <c r="B2" s="14" t="s">
        <v>6</v>
      </c>
      <c r="C2" s="15" t="s">
        <v>11</v>
      </c>
    </row>
    <row r="3" spans="1:3" ht="15" customHeight="1" x14ac:dyDescent="0.35">
      <c r="A3" s="13">
        <v>2</v>
      </c>
      <c r="B3" s="14" t="s">
        <v>7</v>
      </c>
      <c r="C3" s="15" t="s">
        <v>13</v>
      </c>
    </row>
    <row r="4" spans="1:3" ht="15" customHeight="1" x14ac:dyDescent="0.35">
      <c r="A4" s="13">
        <v>3</v>
      </c>
      <c r="B4" s="14" t="s">
        <v>8</v>
      </c>
      <c r="C4" s="15" t="s">
        <v>14</v>
      </c>
    </row>
    <row r="5" spans="1:3" ht="15" customHeight="1" x14ac:dyDescent="0.35">
      <c r="A5" s="13">
        <v>4</v>
      </c>
      <c r="B5" s="14" t="s">
        <v>12</v>
      </c>
      <c r="C5" s="15" t="s">
        <v>15</v>
      </c>
    </row>
    <row r="6" spans="1:3" ht="15" customHeight="1" x14ac:dyDescent="0.35">
      <c r="A6" s="13">
        <v>5</v>
      </c>
      <c r="B6" s="14" t="s">
        <v>16</v>
      </c>
      <c r="C6" s="19" t="s">
        <v>17</v>
      </c>
    </row>
    <row r="7" spans="1:3" ht="15" customHeight="1" x14ac:dyDescent="0.35">
      <c r="A7" s="13">
        <v>6</v>
      </c>
      <c r="B7" s="14" t="s">
        <v>16</v>
      </c>
      <c r="C7" s="19" t="s">
        <v>18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2025-11-19T08:51:27Z</dcterms:modified>
</cp:coreProperties>
</file>