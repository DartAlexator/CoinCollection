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EURO\Croatia\"/>
    </mc:Choice>
  </mc:AlternateContent>
  <xr:revisionPtr revIDLastSave="0" documentId="13_ncr:1_{7A3E2CE1-15BE-42A1-BF23-157758ADE907}" xr6:coauthVersionLast="47" xr6:coauthVersionMax="47" xr10:uidLastSave="{00000000-0000-0000-0000-000000000000}"/>
  <bookViews>
    <workbookView xWindow="-110" yWindow="-110" windowWidth="38620" windowHeight="21220" activeTab="7" xr2:uid="{00000000-000D-0000-FFFF-FFFF00000000}"/>
  </bookViews>
  <sheets>
    <sheet name="1cent" sheetId="4" r:id="rId1"/>
    <sheet name="2cents" sheetId="5" r:id="rId2"/>
    <sheet name="5cents" sheetId="7" r:id="rId3"/>
    <sheet name="10cents" sheetId="8" r:id="rId4"/>
    <sheet name="20cents" sheetId="9" r:id="rId5"/>
    <sheet name="50cents" sheetId="10" r:id="rId6"/>
    <sheet name="1€" sheetId="11" r:id="rId7"/>
    <sheet name="2€" sheetId="12" r:id="rId8"/>
    <sheet name="Links" sheetId="6" r:id="rId9"/>
  </sheets>
  <definedNames>
    <definedName name="_xlnm._FilterDatabase" localSheetId="6" hidden="1">'1€'!$B$2:$E$2</definedName>
    <definedName name="_xlnm._FilterDatabase" localSheetId="3" hidden="1">'10cents'!$B$2:$E$2</definedName>
    <definedName name="_xlnm._FilterDatabase" localSheetId="0" hidden="1">'1cent'!$B$2:$E$2</definedName>
    <definedName name="_xlnm._FilterDatabase" localSheetId="7" hidden="1">'2€'!$B$2:$F$2</definedName>
    <definedName name="_xlnm._FilterDatabase" localSheetId="4" hidden="1">'20cents'!$B$2:$E$2</definedName>
    <definedName name="_xlnm._FilterDatabase" localSheetId="1" hidden="1">'2cents'!$B$2:$E$2</definedName>
    <definedName name="_xlnm._FilterDatabase" localSheetId="5" hidden="1">'50cents'!$B$2:$E$2</definedName>
    <definedName name="_xlnm._FilterDatabase" localSheetId="2" hidden="1">'5cents'!$B$2:$E$2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" i="12" l="1"/>
  <c r="G4" i="12"/>
  <c r="G5" i="11"/>
  <c r="G4" i="11"/>
  <c r="G5" i="10"/>
  <c r="G4" i="10"/>
  <c r="G5" i="9"/>
  <c r="G4" i="9"/>
  <c r="G5" i="8"/>
  <c r="G4" i="8"/>
  <c r="G5" i="7"/>
  <c r="G4" i="7"/>
  <c r="G5" i="5"/>
  <c r="G4" i="5"/>
  <c r="G5" i="4"/>
  <c r="G4" i="4"/>
  <c r="G3" i="4"/>
  <c r="G3" i="5"/>
  <c r="G3" i="7"/>
  <c r="G3" i="8"/>
  <c r="G3" i="9"/>
  <c r="G3" i="10" l="1"/>
  <c r="G3" i="11"/>
  <c r="G3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Илюшин Алексей</author>
  </authors>
  <commentList>
    <comment ref="E2" authorId="0" shapeId="0" xr:uid="{D5E8EC63-E893-45DD-9476-FE299F6E6EFD}">
      <text>
        <r>
          <rPr>
            <b/>
            <sz val="9"/>
            <color indexed="81"/>
            <rFont val="Tahoma"/>
            <family val="2"/>
            <charset val="204"/>
          </rPr>
          <t>Hrvatska kovnica novca,
(Croatian Mint)</t>
        </r>
      </text>
    </comment>
    <comment ref="F2" authorId="0" shapeId="0" xr:uid="{5794BD98-3831-4D4D-9981-71B316828253}">
      <text>
        <r>
          <rPr>
            <b/>
            <sz val="9"/>
            <color indexed="81"/>
            <rFont val="Tahoma"/>
            <family val="2"/>
            <charset val="204"/>
          </rPr>
          <t xml:space="preserve">Hrvatska kovnica novca,
(Croatian Mint)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Илюшин Алексей</author>
  </authors>
  <commentList>
    <comment ref="E2" authorId="0" shapeId="0" xr:uid="{1352F9D6-F8EE-4119-8858-7D7417F3D360}">
      <text>
        <r>
          <rPr>
            <b/>
            <sz val="9"/>
            <color indexed="81"/>
            <rFont val="Tahoma"/>
            <family val="2"/>
            <charset val="204"/>
          </rPr>
          <t>Hrvatska kovnica novca,
(Croatian Mint)</t>
        </r>
      </text>
    </comment>
    <comment ref="F2" authorId="0" shapeId="0" xr:uid="{C452CCB1-EDE0-4159-9297-F806D622DFFC}">
      <text>
        <r>
          <rPr>
            <b/>
            <sz val="9"/>
            <color indexed="81"/>
            <rFont val="Tahoma"/>
            <family val="2"/>
            <charset val="204"/>
          </rPr>
          <t xml:space="preserve">Hrvatska kovnica novca,
(Croatian Mint)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Илюшин Алексей</author>
  </authors>
  <commentList>
    <comment ref="E2" authorId="0" shapeId="0" xr:uid="{2CB0E79E-4525-4A43-80A0-20D44906017B}">
      <text>
        <r>
          <rPr>
            <b/>
            <sz val="9"/>
            <color indexed="81"/>
            <rFont val="Tahoma"/>
            <family val="2"/>
            <charset val="204"/>
          </rPr>
          <t>Hrvatska kovnica novca,
(Croatian Mint)</t>
        </r>
      </text>
    </comment>
    <comment ref="F2" authorId="0" shapeId="0" xr:uid="{04F07892-733C-43F2-86B4-5F3D69015C30}">
      <text>
        <r>
          <rPr>
            <b/>
            <sz val="9"/>
            <color indexed="81"/>
            <rFont val="Tahoma"/>
            <family val="2"/>
            <charset val="204"/>
          </rPr>
          <t xml:space="preserve">Hrvatska kovnica novca,
(Croatian Mint)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Илюшин Алексей</author>
  </authors>
  <commentList>
    <comment ref="E2" authorId="0" shapeId="0" xr:uid="{C018FEF7-F457-45ED-A551-60D708F4216C}">
      <text>
        <r>
          <rPr>
            <b/>
            <sz val="9"/>
            <color indexed="81"/>
            <rFont val="Tahoma"/>
            <family val="2"/>
            <charset val="204"/>
          </rPr>
          <t>Hrvatska kovnica novca,
(Croatian Mint)</t>
        </r>
      </text>
    </comment>
    <comment ref="F2" authorId="0" shapeId="0" xr:uid="{A4873B40-16E1-40A2-AF26-8622588A5583}">
      <text>
        <r>
          <rPr>
            <b/>
            <sz val="9"/>
            <color indexed="81"/>
            <rFont val="Tahoma"/>
            <family val="2"/>
            <charset val="204"/>
          </rPr>
          <t xml:space="preserve">Hrvatska kovnica novca,
(Croatian Mint)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Илюшин Алексей</author>
  </authors>
  <commentList>
    <comment ref="E2" authorId="0" shapeId="0" xr:uid="{BB65DFE2-6CCE-4184-BA53-E0054929E24B}">
      <text>
        <r>
          <rPr>
            <b/>
            <sz val="9"/>
            <color indexed="81"/>
            <rFont val="Tahoma"/>
            <family val="2"/>
            <charset val="204"/>
          </rPr>
          <t>Hrvatska kovnica novca,
(Croatian Mint)</t>
        </r>
      </text>
    </comment>
    <comment ref="F2" authorId="0" shapeId="0" xr:uid="{09C973FD-5E83-4473-A5EB-B769CCE9244C}">
      <text>
        <r>
          <rPr>
            <b/>
            <sz val="9"/>
            <color indexed="81"/>
            <rFont val="Tahoma"/>
            <family val="2"/>
            <charset val="204"/>
          </rPr>
          <t xml:space="preserve">Hrvatska kovnica novca,
(Croatian Mint)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Илюшин Алексей</author>
  </authors>
  <commentList>
    <comment ref="E2" authorId="0" shapeId="0" xr:uid="{7306F3ED-4317-4A5C-87BC-E16D685FEA06}">
      <text>
        <r>
          <rPr>
            <b/>
            <sz val="9"/>
            <color indexed="81"/>
            <rFont val="Tahoma"/>
            <family val="2"/>
            <charset val="204"/>
          </rPr>
          <t>Hrvatska kovnica novca,
(Croatian Mint)</t>
        </r>
      </text>
    </comment>
    <comment ref="F2" authorId="0" shapeId="0" xr:uid="{704CC7B1-9A86-4B63-8C39-E4969A9931E1}">
      <text>
        <r>
          <rPr>
            <b/>
            <sz val="9"/>
            <color indexed="81"/>
            <rFont val="Tahoma"/>
            <family val="2"/>
            <charset val="204"/>
          </rPr>
          <t xml:space="preserve">Hrvatska kovnica novca,
(Croatian Mint)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Илюшин Алексей</author>
  </authors>
  <commentList>
    <comment ref="E2" authorId="0" shapeId="0" xr:uid="{6B1666E0-25DC-4361-8580-99469052361C}">
      <text>
        <r>
          <rPr>
            <b/>
            <sz val="9"/>
            <color indexed="81"/>
            <rFont val="Tahoma"/>
            <family val="2"/>
            <charset val="204"/>
          </rPr>
          <t>Hrvatska kovnica novca,
(Croatian Mint)</t>
        </r>
      </text>
    </comment>
    <comment ref="F2" authorId="0" shapeId="0" xr:uid="{3C6486A3-5A41-4A61-B460-228CCAFF59A4}">
      <text>
        <r>
          <rPr>
            <b/>
            <sz val="9"/>
            <color indexed="81"/>
            <rFont val="Tahoma"/>
            <family val="2"/>
            <charset val="204"/>
          </rPr>
          <t xml:space="preserve">Hrvatska kovnica novca,
(Croatian Mint)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Илюшин Алексей</author>
  </authors>
  <commentList>
    <comment ref="E2" authorId="0" shapeId="0" xr:uid="{A9FA6DBD-1994-4B3E-849D-1FA547133A6D}">
      <text>
        <r>
          <rPr>
            <b/>
            <sz val="9"/>
            <color indexed="81"/>
            <rFont val="Tahoma"/>
            <family val="2"/>
            <charset val="204"/>
          </rPr>
          <t>Hrvatska kovnica novca,
(Croatian Mint)</t>
        </r>
      </text>
    </comment>
    <comment ref="F2" authorId="0" shapeId="0" xr:uid="{A1B3D315-0DF6-4DD1-97DA-22C9071EB7D0}">
      <text>
        <r>
          <rPr>
            <b/>
            <sz val="9"/>
            <color indexed="81"/>
            <rFont val="Tahoma"/>
            <family val="2"/>
            <charset val="204"/>
          </rPr>
          <t xml:space="preserve">Hrvatska kovnica novca,
(Croatian Mint)
</t>
        </r>
      </text>
    </comment>
  </commentList>
</comments>
</file>

<file path=xl/sharedStrings.xml><?xml version="1.0" encoding="utf-8"?>
<sst xmlns="http://schemas.openxmlformats.org/spreadsheetml/2006/main" count="167" uniqueCount="52">
  <si>
    <t>Year</t>
  </si>
  <si>
    <t>Type</t>
  </si>
  <si>
    <t>Mintage</t>
  </si>
  <si>
    <t>1cent</t>
  </si>
  <si>
    <t>2cents</t>
  </si>
  <si>
    <t>5cents</t>
  </si>
  <si>
    <t>10cents</t>
  </si>
  <si>
    <t>20cents</t>
  </si>
  <si>
    <t>50cents</t>
  </si>
  <si>
    <t>1€</t>
  </si>
  <si>
    <t>№</t>
  </si>
  <si>
    <t>Link</t>
  </si>
  <si>
    <t>Description (single table, table set, mintage, prices):</t>
  </si>
  <si>
    <t>en.ucoin.net</t>
  </si>
  <si>
    <t>Middle convenience set of table with mintages and varieties</t>
  </si>
  <si>
    <t>Middle convenience single table with mintages</t>
  </si>
  <si>
    <t>euro-coins</t>
  </si>
  <si>
    <t>2€</t>
  </si>
  <si>
    <t>eurocollection</t>
  </si>
  <si>
    <t>High convenience single table of varieties with photos</t>
  </si>
  <si>
    <t>High convenience set of tables table of actual coins with photos</t>
  </si>
  <si>
    <t>Obv: Without mint symbol</t>
  </si>
  <si>
    <t>Rev: new map of Europe</t>
  </si>
  <si>
    <t>HR</t>
  </si>
  <si>
    <t>Obv: Nikola Tesla</t>
  </si>
  <si>
    <t>Obv: The Glagolitic script</t>
  </si>
  <si>
    <t>Obv: Marten</t>
  </si>
  <si>
    <t>Obv: Geographical map of Croatia</t>
  </si>
  <si>
    <t>63.000.000</t>
  </si>
  <si>
    <t>Subject</t>
  </si>
  <si>
    <t>Subtype_2#Special_distinctions_1</t>
  </si>
  <si>
    <t>Subtype_1#Special_marks_1</t>
  </si>
  <si>
    <t>Subtype_2#Map_of_Europe</t>
  </si>
  <si>
    <t>93.006.050</t>
  </si>
  <si>
    <t>1.089.506</t>
  </si>
  <si>
    <t>9.600.000</t>
  </si>
  <si>
    <t>69.313.000</t>
  </si>
  <si>
    <t>6.420.000</t>
  </si>
  <si>
    <t>95.464.500</t>
  </si>
  <si>
    <t>13.080.806</t>
  </si>
  <si>
    <t>8.700.000</t>
  </si>
  <si>
    <t>102.879.740</t>
  </si>
  <si>
    <t>1.048.006</t>
  </si>
  <si>
    <t>21.040.000</t>
  </si>
  <si>
    <t>89.180.020</t>
  </si>
  <si>
    <t>4.500.806</t>
  </si>
  <si>
    <t>14.500.000</t>
  </si>
  <si>
    <t>65.039.479</t>
  </si>
  <si>
    <t>1.028.006</t>
  </si>
  <si>
    <t>48.061.650</t>
  </si>
  <si>
    <t>79.368.450</t>
  </si>
  <si>
    <t>1.008.006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</si>
</sst>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8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11"/>
      <name val="Calibri"/>
      <family val="2"/>
      <charset val="204"/>
      <scheme val="minor"/>
    </font>
    <font>
      <sz val="11"/>
      <color rgb="FFC00000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1"/>
      <name val="Calibri"/>
      <family val="2"/>
      <charset val="204"/>
    </font>
    <font>
      <sz val="8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6C3A0"/>
        <bgColor indexed="64"/>
      </patternFill>
    </fill>
    <fill>
      <patternFill patternType="solid">
        <fgColor rgb="FFFAD9C2"/>
        <bgColor indexed="64"/>
      </patternFill>
    </fill>
    <fill>
      <patternFill patternType="solid">
        <fgColor rgb="FFF1955D"/>
        <bgColor rgb="FF000000"/>
      </patternFill>
    </fill>
    <fill>
      <patternFill patternType="solid">
        <fgColor rgb="FFF3B285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1"/>
    <xf numFmtId="0" fontId="4" fillId="0" borderId="0" xfId="1" applyFont="1" applyAlignment="1">
      <alignment horizontal="center" vertical="center"/>
    </xf>
    <xf numFmtId="0" fontId="0" fillId="0" borderId="0" xfId="0" applyFont="1" applyAlignment="1"/>
    <xf numFmtId="3" fontId="3" fillId="3" borderId="2" xfId="0" applyNumberFormat="1" applyFont="1" applyFill="1" applyBorder="1" applyAlignment="1">
      <alignment horizontal="center" vertical="center"/>
    </xf>
    <xf numFmtId="3" fontId="3" fillId="5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3" fontId="3" fillId="5" borderId="2" xfId="0" applyNumberFormat="1" applyFont="1" applyFill="1" applyBorder="1" applyAlignment="1">
      <alignment horizontal="center" vertical="center" shrinkToFit="1"/>
    </xf>
    <xf numFmtId="3" fontId="3" fillId="2" borderId="2" xfId="0" applyNumberFormat="1" applyFont="1" applyFill="1" applyBorder="1" applyAlignment="1">
      <alignment horizontal="center" vertical="center" shrinkToFit="1"/>
    </xf>
    <xf numFmtId="3" fontId="3" fillId="3" borderId="2" xfId="0" applyNumberFormat="1" applyFont="1" applyFill="1" applyBorder="1" applyAlignment="1">
      <alignment horizontal="center" vertical="center" shrinkToFit="1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0" fillId="0" borderId="0" xfId="0" applyAlignment="1">
      <alignment horizontal="center" vertical="center"/>
    </xf>
    <xf numFmtId="0" fontId="5" fillId="0" borderId="0" xfId="2" applyAlignment="1">
      <alignment horizontal="center" vertical="center"/>
    </xf>
    <xf numFmtId="0" fontId="1" fillId="0" borderId="0" xfId="0" applyFont="1" applyAlignment="1">
      <alignment wrapText="1"/>
    </xf>
    <xf numFmtId="3" fontId="3" fillId="3" borderId="7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3" fontId="3" fillId="2" borderId="7" xfId="0" applyNumberFormat="1" applyFont="1" applyFill="1" applyBorder="1" applyAlignment="1">
      <alignment horizontal="center" vertical="center" shrinkToFit="1"/>
    </xf>
    <xf numFmtId="0" fontId="6" fillId="4" borderId="3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 vertical="center" shrinkToFit="1"/>
    </xf>
    <xf numFmtId="49" fontId="6" fillId="4" borderId="7" xfId="0" applyNumberFormat="1" applyFont="1" applyFill="1" applyBorder="1" applyAlignment="1">
      <alignment horizontal="center" vertical="center" shrinkToFit="1"/>
    </xf>
    <xf numFmtId="164" fontId="0" fillId="0" borderId="0" xfId="0" applyNumberFormat="1"/>
    <xf numFmtId="0" fontId="6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28"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colors>
    <mruColors>
      <color rgb="FFF3B285"/>
      <color rgb="FFF1955D"/>
      <color rgb="FFF9D3B9"/>
      <color rgb="FFFAD9C2"/>
      <color rgb="FFF6C3A0"/>
      <color rgb="FFF5B8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5" totalsRowShown="0">
  <autoFilter ref="A1:C5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19"/>
    <tableColumn id="2" xr3:uid="{00000000-0010-0000-0000-000002000000}" name="Link" dataDxfId="18" dataCellStyle="Гиперссылка"/>
    <tableColumn id="3" xr3:uid="{00000000-0010-0000-0000-000003000000}" name="Description (single table, table set, mintage, prices):" dataDxfId="17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://www.eurocollection.co.uk/" TargetMode="External"/><Relationship Id="rId2" Type="http://schemas.openxmlformats.org/officeDocument/2006/relationships/hyperlink" Target="https://www.euro-coins.info/info/mintage/croatia.html" TargetMode="External"/><Relationship Id="rId1" Type="http://schemas.openxmlformats.org/officeDocument/2006/relationships/hyperlink" Target="https://en.ucoin.net/table/?country=croatia&amp;period=2009&amp;type=2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9.bin"/><Relationship Id="rId4" Type="http://schemas.openxmlformats.org/officeDocument/2006/relationships/hyperlink" Target="http://www.eurocollection.co.uk/Variant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E4" sqref="E4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7" ht="15" customHeight="1" x14ac:dyDescent="0.35">
      <c r="A1" s="25" t="s">
        <v>0</v>
      </c>
      <c r="B1" s="24"/>
      <c r="C1" s="27" t="s">
        <v>1</v>
      </c>
      <c r="D1" s="28"/>
      <c r="E1" s="20" t="s">
        <v>2</v>
      </c>
      <c r="F1" s="21" t="s">
        <v>3</v>
      </c>
      <c r="G1" s="2"/>
    </row>
    <row r="2" spans="1:7" ht="15" customHeight="1" x14ac:dyDescent="0.35">
      <c r="A2" s="26"/>
      <c r="B2" s="24" t="s">
        <v>29</v>
      </c>
      <c r="C2" s="5" t="s">
        <v>31</v>
      </c>
      <c r="D2" s="5" t="s">
        <v>30</v>
      </c>
      <c r="E2" s="6" t="s">
        <v>23</v>
      </c>
      <c r="F2" s="17" t="s">
        <v>23</v>
      </c>
      <c r="G2" s="2"/>
    </row>
    <row r="3" spans="1:7" ht="15" customHeight="1" x14ac:dyDescent="0.35">
      <c r="A3" s="7">
        <v>2023</v>
      </c>
      <c r="B3" s="8" t="s">
        <v>25</v>
      </c>
      <c r="C3" s="19" t="s">
        <v>21</v>
      </c>
      <c r="D3" s="9"/>
      <c r="E3" s="10" t="s">
        <v>33</v>
      </c>
      <c r="F3" s="1">
        <v>0</v>
      </c>
      <c r="G3" s="3" t="str">
        <f t="shared" ref="G3" si="0">IF(OR(AND(F3&gt;1,F3&lt;&gt;"-")),"Can exchange","")</f>
        <v/>
      </c>
    </row>
    <row r="4" spans="1:7" ht="15" customHeight="1" x14ac:dyDescent="0.35">
      <c r="A4" s="7">
        <v>2024</v>
      </c>
      <c r="B4" s="8" t="s">
        <v>25</v>
      </c>
      <c r="C4" s="19" t="s">
        <v>21</v>
      </c>
      <c r="D4" s="9"/>
      <c r="E4" s="10" t="s">
        <v>34</v>
      </c>
      <c r="F4" s="1">
        <v>0</v>
      </c>
      <c r="G4" s="3" t="str">
        <f t="shared" ref="G4:G5" si="1">IF(OR(AND(F4&gt;1,F4&lt;&gt;"-")),"Can exchange","")</f>
        <v/>
      </c>
    </row>
    <row r="5" spans="1:7" ht="15" customHeight="1" x14ac:dyDescent="0.35">
      <c r="A5" s="7">
        <v>2025</v>
      </c>
      <c r="B5" s="8" t="s">
        <v>25</v>
      </c>
      <c r="C5" s="19" t="s">
        <v>21</v>
      </c>
      <c r="D5" s="9"/>
      <c r="E5" s="10" t="s">
        <v>35</v>
      </c>
      <c r="F5" s="1">
        <v>0</v>
      </c>
      <c r="G5" s="3" t="str">
        <f t="shared" si="1"/>
        <v/>
      </c>
    </row>
  </sheetData>
  <autoFilter ref="B2:E2" xr:uid="{00000000-0001-0000-0000-000000000000}"/>
  <mergeCells count="2">
    <mergeCell ref="A1:A2"/>
    <mergeCell ref="C1:D1"/>
  </mergeCells>
  <phoneticPr fontId="7" type="noConversion"/>
  <conditionalFormatting sqref="F3">
    <cfRule type="containsText" dxfId="27" priority="5" operator="containsText" text="*-">
      <formula>NOT(ISERROR(SEARCH(("*-"),(F3))))</formula>
    </cfRule>
  </conditionalFormatting>
  <conditionalFormatting sqref="F3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">
    <cfRule type="containsText" dxfId="16" priority="3" operator="containsText" text="*-">
      <formula>NOT(ISERROR(SEARCH(("*-"),(F4))))</formula>
    </cfRule>
  </conditionalFormatting>
  <conditionalFormatting sqref="F4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">
    <cfRule type="containsText" dxfId="15" priority="1" operator="containsText" text="*-">
      <formula>NOT(ISERROR(SEARCH(("*-"),(F5))))</formula>
    </cfRule>
  </conditionalFormatting>
  <conditionalFormatting sqref="F5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E11" sqref="E11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7" ht="15" customHeight="1" x14ac:dyDescent="0.35">
      <c r="A1" s="25" t="s">
        <v>0</v>
      </c>
      <c r="B1" s="24"/>
      <c r="C1" s="27" t="s">
        <v>1</v>
      </c>
      <c r="D1" s="28"/>
      <c r="E1" s="20" t="s">
        <v>2</v>
      </c>
      <c r="F1" s="21" t="s">
        <v>4</v>
      </c>
      <c r="G1" s="2"/>
    </row>
    <row r="2" spans="1:7" ht="15" customHeight="1" x14ac:dyDescent="0.35">
      <c r="A2" s="26"/>
      <c r="B2" s="24" t="s">
        <v>29</v>
      </c>
      <c r="C2" s="5" t="s">
        <v>31</v>
      </c>
      <c r="D2" s="5" t="s">
        <v>30</v>
      </c>
      <c r="E2" s="6" t="s">
        <v>23</v>
      </c>
      <c r="F2" s="17" t="s">
        <v>23</v>
      </c>
      <c r="G2" s="2"/>
    </row>
    <row r="3" spans="1:7" ht="15" customHeight="1" x14ac:dyDescent="0.35">
      <c r="A3" s="7">
        <v>2023</v>
      </c>
      <c r="B3" s="8" t="s">
        <v>25</v>
      </c>
      <c r="C3" s="19" t="s">
        <v>21</v>
      </c>
      <c r="D3" s="9"/>
      <c r="E3" s="10" t="s">
        <v>28</v>
      </c>
      <c r="F3" s="1">
        <v>0</v>
      </c>
      <c r="G3" s="3" t="str">
        <f t="shared" ref="G3" si="0">IF(OR(AND(F3&gt;1,F3&lt;&gt;"-")),"Can exchange","")</f>
        <v/>
      </c>
    </row>
    <row r="4" spans="1:7" ht="15" customHeight="1" x14ac:dyDescent="0.35">
      <c r="A4" s="7">
        <v>2024</v>
      </c>
      <c r="B4" s="8" t="s">
        <v>25</v>
      </c>
      <c r="C4" s="19" t="s">
        <v>21</v>
      </c>
      <c r="D4" s="9"/>
      <c r="E4" s="10" t="s">
        <v>36</v>
      </c>
      <c r="F4" s="1">
        <v>0</v>
      </c>
      <c r="G4" s="3" t="str">
        <f t="shared" ref="G4:G5" si="1">IF(OR(AND(F4&gt;1,F4&lt;&gt;"-")),"Can exchange","")</f>
        <v/>
      </c>
    </row>
    <row r="5" spans="1:7" ht="15" customHeight="1" x14ac:dyDescent="0.35">
      <c r="A5" s="7">
        <v>2025</v>
      </c>
      <c r="B5" s="8" t="s">
        <v>25</v>
      </c>
      <c r="C5" s="19" t="s">
        <v>21</v>
      </c>
      <c r="D5" s="9"/>
      <c r="E5" s="10" t="s">
        <v>37</v>
      </c>
      <c r="F5" s="1">
        <v>0</v>
      </c>
      <c r="G5" s="3" t="str">
        <f t="shared" si="1"/>
        <v/>
      </c>
    </row>
  </sheetData>
  <autoFilter ref="B2:E2" xr:uid="{00000000-0001-0000-0100-000000000000}"/>
  <mergeCells count="2">
    <mergeCell ref="A1:A2"/>
    <mergeCell ref="C1:D1"/>
  </mergeCells>
  <phoneticPr fontId="7" type="noConversion"/>
  <conditionalFormatting sqref="F3">
    <cfRule type="containsText" dxfId="26" priority="5" operator="containsText" text="*-">
      <formula>NOT(ISERROR(SEARCH(("*-"),(F3))))</formula>
    </cfRule>
  </conditionalFormatting>
  <conditionalFormatting sqref="F3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">
    <cfRule type="containsText" dxfId="14" priority="3" operator="containsText" text="*-">
      <formula>NOT(ISERROR(SEARCH(("*-"),(F4))))</formula>
    </cfRule>
  </conditionalFormatting>
  <conditionalFormatting sqref="F4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">
    <cfRule type="containsText" dxfId="13" priority="1" operator="containsText" text="*-">
      <formula>NOT(ISERROR(SEARCH(("*-"),(F5))))</formula>
    </cfRule>
  </conditionalFormatting>
  <conditionalFormatting sqref="F5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>
      <pane xSplit="7" ySplit="2" topLeftCell="H3" activePane="bottomRight" state="frozen"/>
      <selection pane="topRight" activeCell="J1" sqref="J1"/>
      <selection pane="bottomLeft" activeCell="A3" sqref="A3"/>
      <selection pane="bottomRight" activeCell="E8" sqref="E8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7" ht="15" customHeight="1" x14ac:dyDescent="0.35">
      <c r="A1" s="25" t="s">
        <v>0</v>
      </c>
      <c r="B1" s="24"/>
      <c r="C1" s="27" t="s">
        <v>1</v>
      </c>
      <c r="D1" s="28"/>
      <c r="E1" s="20" t="s">
        <v>2</v>
      </c>
      <c r="F1" s="21" t="s">
        <v>5</v>
      </c>
      <c r="G1" s="2"/>
    </row>
    <row r="2" spans="1:7" ht="15" customHeight="1" x14ac:dyDescent="0.35">
      <c r="A2" s="26"/>
      <c r="B2" s="24" t="s">
        <v>29</v>
      </c>
      <c r="C2" s="5" t="s">
        <v>31</v>
      </c>
      <c r="D2" s="5" t="s">
        <v>30</v>
      </c>
      <c r="E2" s="6" t="s">
        <v>23</v>
      </c>
      <c r="F2" s="17" t="s">
        <v>23</v>
      </c>
      <c r="G2" s="2"/>
    </row>
    <row r="3" spans="1:7" ht="15" customHeight="1" x14ac:dyDescent="0.35">
      <c r="A3" s="7">
        <v>2023</v>
      </c>
      <c r="B3" s="8" t="s">
        <v>25</v>
      </c>
      <c r="C3" s="19" t="s">
        <v>21</v>
      </c>
      <c r="D3" s="9"/>
      <c r="E3" s="10" t="s">
        <v>38</v>
      </c>
      <c r="F3" s="1">
        <v>0</v>
      </c>
      <c r="G3" s="3" t="str">
        <f t="shared" ref="G3" si="0">IF(OR(AND(F3&gt;1,F3&lt;&gt;"-")),"Can exchange","")</f>
        <v/>
      </c>
    </row>
    <row r="4" spans="1:7" ht="15" customHeight="1" x14ac:dyDescent="0.35">
      <c r="A4" s="7">
        <v>2024</v>
      </c>
      <c r="B4" s="8" t="s">
        <v>25</v>
      </c>
      <c r="C4" s="19" t="s">
        <v>21</v>
      </c>
      <c r="D4" s="9"/>
      <c r="E4" s="10" t="s">
        <v>39</v>
      </c>
      <c r="F4" s="1">
        <v>0</v>
      </c>
      <c r="G4" s="3" t="str">
        <f t="shared" ref="G4:G5" si="1">IF(OR(AND(F4&gt;1,F4&lt;&gt;"-")),"Can exchange","")</f>
        <v/>
      </c>
    </row>
    <row r="5" spans="1:7" ht="15" customHeight="1" x14ac:dyDescent="0.35">
      <c r="A5" s="7">
        <v>2025</v>
      </c>
      <c r="B5" s="8" t="s">
        <v>25</v>
      </c>
      <c r="C5" s="19" t="s">
        <v>21</v>
      </c>
      <c r="D5" s="9"/>
      <c r="E5" s="10" t="s">
        <v>40</v>
      </c>
      <c r="F5" s="1">
        <v>0</v>
      </c>
      <c r="G5" s="3" t="str">
        <f t="shared" si="1"/>
        <v/>
      </c>
    </row>
  </sheetData>
  <autoFilter ref="B2:E2" xr:uid="{00000000-0001-0000-0200-000000000000}"/>
  <mergeCells count="2">
    <mergeCell ref="A1:A2"/>
    <mergeCell ref="C1:D1"/>
  </mergeCells>
  <phoneticPr fontId="7" type="noConversion"/>
  <conditionalFormatting sqref="F3">
    <cfRule type="containsText" dxfId="25" priority="5" operator="containsText" text="*-">
      <formula>NOT(ISERROR(SEARCH(("*-"),(F3))))</formula>
    </cfRule>
  </conditionalFormatting>
  <conditionalFormatting sqref="F3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">
    <cfRule type="containsText" dxfId="12" priority="3" operator="containsText" text="*-">
      <formula>NOT(ISERROR(SEARCH(("*-"),(F4))))</formula>
    </cfRule>
  </conditionalFormatting>
  <conditionalFormatting sqref="F4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">
    <cfRule type="containsText" dxfId="11" priority="1" operator="containsText" text="*-">
      <formula>NOT(ISERROR(SEARCH(("*-"),(F5))))</formula>
    </cfRule>
  </conditionalFormatting>
  <conditionalFormatting sqref="F5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E16" sqref="E16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7" ht="15" customHeight="1" x14ac:dyDescent="0.35">
      <c r="A1" s="25" t="s">
        <v>0</v>
      </c>
      <c r="B1" s="24"/>
      <c r="C1" s="27" t="s">
        <v>1</v>
      </c>
      <c r="D1" s="28"/>
      <c r="E1" s="20" t="s">
        <v>2</v>
      </c>
      <c r="F1" s="21" t="s">
        <v>6</v>
      </c>
      <c r="G1" s="2"/>
    </row>
    <row r="2" spans="1:7" ht="15" customHeight="1" x14ac:dyDescent="0.35">
      <c r="A2" s="26"/>
      <c r="B2" s="24" t="s">
        <v>29</v>
      </c>
      <c r="C2" s="5" t="s">
        <v>31</v>
      </c>
      <c r="D2" s="5" t="s">
        <v>32</v>
      </c>
      <c r="E2" s="6" t="s">
        <v>23</v>
      </c>
      <c r="F2" s="17" t="s">
        <v>23</v>
      </c>
      <c r="G2" s="2"/>
    </row>
    <row r="3" spans="1:7" ht="15" customHeight="1" x14ac:dyDescent="0.35">
      <c r="A3" s="7">
        <v>2023</v>
      </c>
      <c r="B3" s="8" t="s">
        <v>24</v>
      </c>
      <c r="C3" s="19" t="s">
        <v>21</v>
      </c>
      <c r="D3" s="9" t="s">
        <v>22</v>
      </c>
      <c r="E3" s="10" t="s">
        <v>41</v>
      </c>
      <c r="F3" s="1">
        <v>0</v>
      </c>
      <c r="G3" s="3" t="str">
        <f t="shared" ref="G3" si="0">IF(OR(AND(F3&gt;1,F3&lt;&gt;"-")),"Can exchange","")</f>
        <v/>
      </c>
    </row>
    <row r="4" spans="1:7" ht="15" customHeight="1" x14ac:dyDescent="0.35">
      <c r="A4" s="7">
        <v>2024</v>
      </c>
      <c r="B4" s="8" t="s">
        <v>24</v>
      </c>
      <c r="C4" s="19" t="s">
        <v>21</v>
      </c>
      <c r="D4" s="9" t="s">
        <v>22</v>
      </c>
      <c r="E4" s="10" t="s">
        <v>42</v>
      </c>
      <c r="F4" s="1">
        <v>0</v>
      </c>
      <c r="G4" s="3" t="str">
        <f t="shared" ref="G4:G5" si="1">IF(OR(AND(F4&gt;1,F4&lt;&gt;"-")),"Can exchange","")</f>
        <v/>
      </c>
    </row>
    <row r="5" spans="1:7" ht="15" customHeight="1" x14ac:dyDescent="0.35">
      <c r="A5" s="7">
        <v>2025</v>
      </c>
      <c r="B5" s="8" t="s">
        <v>24</v>
      </c>
      <c r="C5" s="19" t="s">
        <v>21</v>
      </c>
      <c r="D5" s="9" t="s">
        <v>22</v>
      </c>
      <c r="E5" s="10" t="s">
        <v>43</v>
      </c>
      <c r="F5" s="1">
        <v>0</v>
      </c>
      <c r="G5" s="3" t="str">
        <f t="shared" si="1"/>
        <v/>
      </c>
    </row>
  </sheetData>
  <autoFilter ref="B2:E2" xr:uid="{00000000-0001-0000-0300-000000000000}"/>
  <mergeCells count="2">
    <mergeCell ref="A1:A2"/>
    <mergeCell ref="C1:D1"/>
  </mergeCells>
  <conditionalFormatting sqref="F3">
    <cfRule type="containsText" dxfId="24" priority="5" operator="containsText" text="*-">
      <formula>NOT(ISERROR(SEARCH(("*-"),(F3))))</formula>
    </cfRule>
  </conditionalFormatting>
  <conditionalFormatting sqref="F3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">
    <cfRule type="containsText" dxfId="10" priority="3" operator="containsText" text="*-">
      <formula>NOT(ISERROR(SEARCH(("*-"),(F4))))</formula>
    </cfRule>
  </conditionalFormatting>
  <conditionalFormatting sqref="F4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">
    <cfRule type="containsText" dxfId="9" priority="1" operator="containsText" text="*-">
      <formula>NOT(ISERROR(SEARCH(("*-"),(F5))))</formula>
    </cfRule>
  </conditionalFormatting>
  <conditionalFormatting sqref="F5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D22" sqref="D22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7" ht="15" customHeight="1" x14ac:dyDescent="0.35">
      <c r="A1" s="25" t="s">
        <v>0</v>
      </c>
      <c r="B1" s="24"/>
      <c r="C1" s="27" t="s">
        <v>1</v>
      </c>
      <c r="D1" s="28"/>
      <c r="E1" s="20" t="s">
        <v>2</v>
      </c>
      <c r="F1" s="21" t="s">
        <v>7</v>
      </c>
      <c r="G1" s="2"/>
    </row>
    <row r="2" spans="1:7" ht="15" customHeight="1" x14ac:dyDescent="0.35">
      <c r="A2" s="26"/>
      <c r="B2" s="24" t="s">
        <v>29</v>
      </c>
      <c r="C2" s="5" t="s">
        <v>31</v>
      </c>
      <c r="D2" s="5" t="s">
        <v>32</v>
      </c>
      <c r="E2" s="6" t="s">
        <v>23</v>
      </c>
      <c r="F2" s="17" t="s">
        <v>23</v>
      </c>
      <c r="G2" s="2"/>
    </row>
    <row r="3" spans="1:7" ht="15" customHeight="1" x14ac:dyDescent="0.35">
      <c r="A3" s="7">
        <v>2023</v>
      </c>
      <c r="B3" s="8" t="s">
        <v>24</v>
      </c>
      <c r="C3" s="19" t="s">
        <v>21</v>
      </c>
      <c r="D3" s="9" t="s">
        <v>22</v>
      </c>
      <c r="E3" s="10" t="s">
        <v>44</v>
      </c>
      <c r="F3" s="1">
        <v>0</v>
      </c>
      <c r="G3" s="3" t="str">
        <f t="shared" ref="G3" si="0">IF(OR(AND(F3&gt;1,F3&lt;&gt;"-")),"Can exchange","")</f>
        <v/>
      </c>
    </row>
    <row r="4" spans="1:7" ht="15" customHeight="1" x14ac:dyDescent="0.35">
      <c r="A4" s="7">
        <v>2024</v>
      </c>
      <c r="B4" s="8" t="s">
        <v>24</v>
      </c>
      <c r="C4" s="19" t="s">
        <v>21</v>
      </c>
      <c r="D4" s="9" t="s">
        <v>22</v>
      </c>
      <c r="E4" s="10" t="s">
        <v>45</v>
      </c>
      <c r="F4" s="1">
        <v>0</v>
      </c>
      <c r="G4" s="3" t="str">
        <f t="shared" ref="G4:G5" si="1">IF(OR(AND(F4&gt;1,F4&lt;&gt;"-")),"Can exchange","")</f>
        <v/>
      </c>
    </row>
    <row r="5" spans="1:7" ht="15" customHeight="1" x14ac:dyDescent="0.35">
      <c r="A5" s="7">
        <v>2025</v>
      </c>
      <c r="B5" s="8" t="s">
        <v>24</v>
      </c>
      <c r="C5" s="19" t="s">
        <v>21</v>
      </c>
      <c r="D5" s="9" t="s">
        <v>22</v>
      </c>
      <c r="E5" s="10" t="s">
        <v>46</v>
      </c>
      <c r="F5" s="1">
        <v>0</v>
      </c>
      <c r="G5" s="3" t="str">
        <f t="shared" si="1"/>
        <v/>
      </c>
    </row>
  </sheetData>
  <autoFilter ref="B2:E2" xr:uid="{00000000-0001-0000-0400-000000000000}"/>
  <mergeCells count="2">
    <mergeCell ref="A1:A2"/>
    <mergeCell ref="C1:D1"/>
  </mergeCells>
  <conditionalFormatting sqref="F3">
    <cfRule type="containsText" dxfId="23" priority="5" operator="containsText" text="*-">
      <formula>NOT(ISERROR(SEARCH(("*-"),(F3))))</formula>
    </cfRule>
  </conditionalFormatting>
  <conditionalFormatting sqref="F3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">
    <cfRule type="containsText" dxfId="8" priority="3" operator="containsText" text="*-">
      <formula>NOT(ISERROR(SEARCH(("*-"),(F4))))</formula>
    </cfRule>
  </conditionalFormatting>
  <conditionalFormatting sqref="F4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">
    <cfRule type="containsText" dxfId="6" priority="1" operator="containsText" text="*-">
      <formula>NOT(ISERROR(SEARCH(("*-"),(F5))))</formula>
    </cfRule>
  </conditionalFormatting>
  <conditionalFormatting sqref="F5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F24" sqref="F24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7" ht="15" customHeight="1" x14ac:dyDescent="0.35">
      <c r="A1" s="25" t="s">
        <v>0</v>
      </c>
      <c r="B1" s="24"/>
      <c r="C1" s="27" t="s">
        <v>1</v>
      </c>
      <c r="D1" s="28"/>
      <c r="E1" s="20" t="s">
        <v>2</v>
      </c>
      <c r="F1" s="21" t="s">
        <v>8</v>
      </c>
      <c r="G1" s="2"/>
    </row>
    <row r="2" spans="1:7" ht="15" customHeight="1" x14ac:dyDescent="0.35">
      <c r="A2" s="26"/>
      <c r="B2" s="24" t="s">
        <v>29</v>
      </c>
      <c r="C2" s="5" t="s">
        <v>31</v>
      </c>
      <c r="D2" s="5" t="s">
        <v>32</v>
      </c>
      <c r="E2" s="6" t="s">
        <v>23</v>
      </c>
      <c r="F2" s="17" t="s">
        <v>23</v>
      </c>
      <c r="G2" s="2"/>
    </row>
    <row r="3" spans="1:7" ht="15" customHeight="1" x14ac:dyDescent="0.35">
      <c r="A3" s="7">
        <v>2023</v>
      </c>
      <c r="B3" s="8" t="s">
        <v>24</v>
      </c>
      <c r="C3" s="19" t="s">
        <v>21</v>
      </c>
      <c r="D3" s="9" t="s">
        <v>22</v>
      </c>
      <c r="E3" s="10" t="s">
        <v>47</v>
      </c>
      <c r="F3" s="1">
        <v>0</v>
      </c>
      <c r="G3" s="3" t="str">
        <f t="shared" ref="G3" si="0">IF(OR(AND(F3&gt;1,F3&lt;&gt;"-")),"Can exchange","")</f>
        <v/>
      </c>
    </row>
    <row r="4" spans="1:7" ht="15" customHeight="1" x14ac:dyDescent="0.35">
      <c r="A4" s="7">
        <v>2024</v>
      </c>
      <c r="B4" s="8" t="s">
        <v>24</v>
      </c>
      <c r="C4" s="19" t="s">
        <v>21</v>
      </c>
      <c r="D4" s="9" t="s">
        <v>22</v>
      </c>
      <c r="E4" s="10" t="s">
        <v>48</v>
      </c>
      <c r="F4" s="1">
        <v>0</v>
      </c>
      <c r="G4" s="3" t="str">
        <f t="shared" ref="G4:G5" si="1">IF(OR(AND(F4&gt;1,F4&lt;&gt;"-")),"Can exchange","")</f>
        <v/>
      </c>
    </row>
    <row r="5" spans="1:7" ht="15" customHeight="1" x14ac:dyDescent="0.35">
      <c r="A5" s="7">
        <v>2025</v>
      </c>
      <c r="B5" s="8" t="s">
        <v>24</v>
      </c>
      <c r="C5" s="19" t="s">
        <v>21</v>
      </c>
      <c r="D5" s="9" t="s">
        <v>22</v>
      </c>
      <c r="E5" s="10"/>
      <c r="F5" s="1">
        <v>0</v>
      </c>
      <c r="G5" s="3" t="str">
        <f t="shared" si="1"/>
        <v/>
      </c>
    </row>
  </sheetData>
  <autoFilter ref="B2:E2" xr:uid="{00000000-0001-0000-0500-000000000000}"/>
  <mergeCells count="2">
    <mergeCell ref="A1:A2"/>
    <mergeCell ref="C1:D1"/>
  </mergeCells>
  <conditionalFormatting sqref="F3">
    <cfRule type="containsText" dxfId="22" priority="5" operator="containsText" text="*-">
      <formula>NOT(ISERROR(SEARCH(("*-"),(F3))))</formula>
    </cfRule>
  </conditionalFormatting>
  <conditionalFormatting sqref="F3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">
    <cfRule type="containsText" dxfId="5" priority="3" operator="containsText" text="*-">
      <formula>NOT(ISERROR(SEARCH(("*-"),(F4))))</formula>
    </cfRule>
  </conditionalFormatting>
  <conditionalFormatting sqref="F4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">
    <cfRule type="containsText" dxfId="4" priority="1" operator="containsText" text="*-">
      <formula>NOT(ISERROR(SEARCH(("*-"),(F5))))</formula>
    </cfRule>
  </conditionalFormatting>
  <conditionalFormatting sqref="F5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F19" sqref="F19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7" ht="15" customHeight="1" x14ac:dyDescent="0.35">
      <c r="A1" s="25" t="s">
        <v>0</v>
      </c>
      <c r="B1" s="24"/>
      <c r="C1" s="27" t="s">
        <v>1</v>
      </c>
      <c r="D1" s="28"/>
      <c r="E1" s="20" t="s">
        <v>2</v>
      </c>
      <c r="F1" s="22" t="s">
        <v>9</v>
      </c>
      <c r="G1" s="2"/>
    </row>
    <row r="2" spans="1:7" ht="15" customHeight="1" x14ac:dyDescent="0.35">
      <c r="A2" s="26"/>
      <c r="B2" s="24" t="s">
        <v>29</v>
      </c>
      <c r="C2" s="5" t="s">
        <v>31</v>
      </c>
      <c r="D2" s="5" t="s">
        <v>32</v>
      </c>
      <c r="E2" s="6" t="s">
        <v>23</v>
      </c>
      <c r="F2" s="17" t="s">
        <v>23</v>
      </c>
      <c r="G2" s="2"/>
    </row>
    <row r="3" spans="1:7" ht="15" customHeight="1" x14ac:dyDescent="0.35">
      <c r="A3" s="7">
        <v>2023</v>
      </c>
      <c r="B3" s="8" t="s">
        <v>26</v>
      </c>
      <c r="C3" s="19" t="s">
        <v>21</v>
      </c>
      <c r="D3" s="9" t="s">
        <v>22</v>
      </c>
      <c r="E3" s="10" t="s">
        <v>49</v>
      </c>
      <c r="F3" s="1">
        <v>0</v>
      </c>
      <c r="G3" s="3" t="str">
        <f t="shared" ref="G3" si="0">IF(OR(AND(F3&gt;1,F3&lt;&gt;"-")),"Can exchange","")</f>
        <v/>
      </c>
    </row>
    <row r="4" spans="1:7" ht="15" customHeight="1" x14ac:dyDescent="0.35">
      <c r="A4" s="7">
        <v>2024</v>
      </c>
      <c r="B4" s="8" t="s">
        <v>26</v>
      </c>
      <c r="C4" s="19" t="s">
        <v>21</v>
      </c>
      <c r="D4" s="9" t="s">
        <v>22</v>
      </c>
      <c r="E4" s="10" t="s">
        <v>48</v>
      </c>
      <c r="F4" s="1">
        <v>0</v>
      </c>
      <c r="G4" s="3" t="str">
        <f t="shared" ref="G4:G5" si="1">IF(OR(AND(F4&gt;1,F4&lt;&gt;"-")),"Can exchange","")</f>
        <v/>
      </c>
    </row>
    <row r="5" spans="1:7" ht="15" customHeight="1" x14ac:dyDescent="0.35">
      <c r="A5" s="7">
        <v>2025</v>
      </c>
      <c r="B5" s="8" t="s">
        <v>26</v>
      </c>
      <c r="C5" s="19" t="s">
        <v>21</v>
      </c>
      <c r="D5" s="9" t="s">
        <v>22</v>
      </c>
      <c r="E5" s="10"/>
      <c r="F5" s="1">
        <v>0</v>
      </c>
      <c r="G5" s="3" t="str">
        <f t="shared" si="1"/>
        <v/>
      </c>
    </row>
  </sheetData>
  <autoFilter ref="B2:E2" xr:uid="{00000000-0001-0000-0600-000000000000}"/>
  <mergeCells count="2">
    <mergeCell ref="A1:A2"/>
    <mergeCell ref="C1:D1"/>
  </mergeCells>
  <phoneticPr fontId="7" type="noConversion"/>
  <conditionalFormatting sqref="F3">
    <cfRule type="containsText" dxfId="21" priority="5" operator="containsText" text="*-">
      <formula>NOT(ISERROR(SEARCH(("*-"),(F3))))</formula>
    </cfRule>
  </conditionalFormatting>
  <conditionalFormatting sqref="F3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">
    <cfRule type="containsText" dxfId="3" priority="3" operator="containsText" text="*-">
      <formula>NOT(ISERROR(SEARCH(("*-"),(F4))))</formula>
    </cfRule>
  </conditionalFormatting>
  <conditionalFormatting sqref="F4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">
    <cfRule type="containsText" dxfId="2" priority="1" operator="containsText" text="*-">
      <formula>NOT(ISERROR(SEARCH(("*-"),(F5))))</formula>
    </cfRule>
  </conditionalFormatting>
  <conditionalFormatting sqref="F5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8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D33" sqref="D33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19" ht="15" customHeight="1" x14ac:dyDescent="0.35">
      <c r="A1" s="25" t="s">
        <v>0</v>
      </c>
      <c r="B1" s="24"/>
      <c r="C1" s="27" t="s">
        <v>1</v>
      </c>
      <c r="D1" s="28"/>
      <c r="E1" s="20" t="s">
        <v>2</v>
      </c>
      <c r="F1" s="22" t="s">
        <v>17</v>
      </c>
      <c r="G1" s="2"/>
    </row>
    <row r="2" spans="1:19" ht="15" customHeight="1" x14ac:dyDescent="0.35">
      <c r="A2" s="26"/>
      <c r="B2" s="24" t="s">
        <v>29</v>
      </c>
      <c r="C2" s="5" t="s">
        <v>31</v>
      </c>
      <c r="D2" s="5" t="s">
        <v>32</v>
      </c>
      <c r="E2" s="6" t="s">
        <v>23</v>
      </c>
      <c r="F2" s="17" t="s">
        <v>23</v>
      </c>
      <c r="G2" s="2"/>
    </row>
    <row r="3" spans="1:19" ht="15" customHeight="1" x14ac:dyDescent="0.35">
      <c r="A3" s="7">
        <v>2023</v>
      </c>
      <c r="B3" s="8" t="s">
        <v>27</v>
      </c>
      <c r="C3" s="19" t="s">
        <v>21</v>
      </c>
      <c r="D3" s="9" t="s">
        <v>22</v>
      </c>
      <c r="E3" s="10" t="s">
        <v>50</v>
      </c>
      <c r="F3" s="1">
        <v>0</v>
      </c>
      <c r="G3" s="3" t="str">
        <f t="shared" ref="G3" si="0">IF(OR(AND(F3&gt;1,F3&lt;&gt;"-")),"Can exchange","")</f>
        <v/>
      </c>
    </row>
    <row r="4" spans="1:19" ht="15" customHeight="1" x14ac:dyDescent="0.35">
      <c r="A4" s="7">
        <v>2024</v>
      </c>
      <c r="B4" s="8" t="s">
        <v>27</v>
      </c>
      <c r="C4" s="19" t="s">
        <v>21</v>
      </c>
      <c r="D4" s="9" t="s">
        <v>22</v>
      </c>
      <c r="E4" s="10" t="s">
        <v>51</v>
      </c>
      <c r="F4" s="1">
        <v>0</v>
      </c>
      <c r="G4" s="3" t="str">
        <f t="shared" ref="G4:G5" si="1">IF(OR(AND(F4&gt;1,F4&lt;&gt;"-")),"Can exchange","")</f>
        <v/>
      </c>
    </row>
    <row r="5" spans="1:19" ht="15" customHeight="1" x14ac:dyDescent="0.35">
      <c r="A5" s="7">
        <v>2025</v>
      </c>
      <c r="B5" s="8" t="s">
        <v>27</v>
      </c>
      <c r="C5" s="19" t="s">
        <v>21</v>
      </c>
      <c r="D5" s="9" t="s">
        <v>22</v>
      </c>
      <c r="E5" s="10"/>
      <c r="F5" s="1">
        <v>0</v>
      </c>
      <c r="G5" s="3" t="str">
        <f t="shared" si="1"/>
        <v/>
      </c>
    </row>
    <row r="8" spans="1:19" ht="15" customHeight="1" x14ac:dyDescent="0.35">
      <c r="R8" s="23"/>
      <c r="S8" s="23"/>
    </row>
  </sheetData>
  <autoFilter ref="B2:F2" xr:uid="{00000000-0001-0000-0700-000000000000}"/>
  <mergeCells count="2">
    <mergeCell ref="A1:A2"/>
    <mergeCell ref="C1:D1"/>
  </mergeCells>
  <conditionalFormatting sqref="F3">
    <cfRule type="containsText" dxfId="20" priority="5" operator="containsText" text="*-">
      <formula>NOT(ISERROR(SEARCH(("*-"),(F3))))</formula>
    </cfRule>
  </conditionalFormatting>
  <conditionalFormatting sqref="F3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">
    <cfRule type="containsText" dxfId="1" priority="3" operator="containsText" text="*-">
      <formula>NOT(ISERROR(SEARCH(("*-"),(F4))))</formula>
    </cfRule>
  </conditionalFormatting>
  <conditionalFormatting sqref="F4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">
    <cfRule type="containsText" dxfId="0" priority="1" operator="containsText" text="*-">
      <formula>NOT(ISERROR(SEARCH(("*-"),(F5))))</formula>
    </cfRule>
  </conditionalFormatting>
  <conditionalFormatting sqref="F5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RowHeight="15" customHeight="1" x14ac:dyDescent="0.35"/>
  <cols>
    <col min="1" max="1" width="4.81640625" customWidth="1"/>
    <col min="2" max="2" width="16.26953125" customWidth="1"/>
    <col min="3" max="3" width="61.81640625" customWidth="1"/>
  </cols>
  <sheetData>
    <row r="1" spans="1:3" ht="15" customHeight="1" x14ac:dyDescent="0.35">
      <c r="A1" s="11" t="s">
        <v>10</v>
      </c>
      <c r="B1" s="12" t="s">
        <v>11</v>
      </c>
      <c r="C1" s="13" t="s">
        <v>12</v>
      </c>
    </row>
    <row r="2" spans="1:3" ht="15" customHeight="1" x14ac:dyDescent="0.35">
      <c r="A2" s="14">
        <v>1</v>
      </c>
      <c r="B2" s="15" t="s">
        <v>13</v>
      </c>
      <c r="C2" s="16" t="s">
        <v>14</v>
      </c>
    </row>
    <row r="3" spans="1:3" ht="15" customHeight="1" x14ac:dyDescent="0.35">
      <c r="A3" s="14">
        <v>2</v>
      </c>
      <c r="B3" s="15" t="s">
        <v>16</v>
      </c>
      <c r="C3" s="16" t="s">
        <v>15</v>
      </c>
    </row>
    <row r="4" spans="1:3" ht="15" customHeight="1" x14ac:dyDescent="0.35">
      <c r="A4" s="14">
        <v>3</v>
      </c>
      <c r="B4" s="15" t="s">
        <v>18</v>
      </c>
      <c r="C4" s="18" t="s">
        <v>19</v>
      </c>
    </row>
    <row r="5" spans="1:3" ht="15" customHeight="1" x14ac:dyDescent="0.35">
      <c r="A5" s="14">
        <v>4</v>
      </c>
      <c r="B5" s="15" t="s">
        <v>18</v>
      </c>
      <c r="C5" s="18" t="s">
        <v>20</v>
      </c>
    </row>
  </sheetData>
  <hyperlinks>
    <hyperlink ref="B2" r:id="rId1" xr:uid="{00000000-0004-0000-0800-000000000000}"/>
    <hyperlink ref="B3" r:id="rId2" xr:uid="{00000000-0004-0000-0800-000001000000}"/>
    <hyperlink ref="B5" r:id="rId3" xr:uid="{00000000-0004-0000-0800-000004000000}"/>
    <hyperlink ref="B4" r:id="rId4" xr:uid="{00000000-0004-0000-0800-000005000000}"/>
  </hyperlinks>
  <pageMargins left="0.7" right="0.7" top="0.75" bottom="0.75" header="0.3" footer="0.3"/>
  <pageSetup paperSize="9" orientation="portrait" horizontalDpi="300" verticalDpi="300" r:id="rId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1cent</vt:lpstr>
      <vt:lpstr>2cents</vt:lpstr>
      <vt:lpstr>5cents</vt:lpstr>
      <vt:lpstr>10cents</vt:lpstr>
      <vt:lpstr>20cents</vt:lpstr>
      <vt:lpstr>50cents</vt:lpstr>
      <vt:lpstr>1€</vt:lpstr>
      <vt:lpstr>2€</vt:lpstr>
      <vt:lpstr>Links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Алексей Илюшин</cp:lastModifiedBy>
  <dcterms:created xsi:type="dcterms:W3CDTF">2019-12-22T17:08:36Z</dcterms:created>
  <dcterms:modified xsi:type="dcterms:W3CDTF">2026-02-12T09:22:58Z</dcterms:modified>
</cp:coreProperties>
</file>