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Croatia\"/>
    </mc:Choice>
  </mc:AlternateContent>
  <xr:revisionPtr revIDLastSave="0" documentId="13_ncr:1_{C7D7B98C-1A39-42DE-817B-A00983CAC2E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H7" i="1"/>
  <c r="H6" i="1"/>
  <c r="H4" i="1"/>
  <c r="H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</authors>
  <commentList>
    <comment ref="F2" authorId="0" shapeId="0" xr:uid="{CD501B07-102D-43AA-9B5C-3BB80503E440}">
      <text>
        <r>
          <rPr>
            <b/>
            <sz val="9"/>
            <color indexed="81"/>
            <rFont val="Tahoma"/>
            <family val="2"/>
            <charset val="204"/>
          </rPr>
          <t>Hrvatska kovnica novca,
(Croatian Mint)</t>
        </r>
      </text>
    </comment>
    <comment ref="G2" authorId="0" shapeId="0" xr:uid="{2D79C93A-E2E4-4160-B661-31F44B3B12BA}">
      <text>
        <r>
          <rPr>
            <b/>
            <sz val="9"/>
            <color indexed="81"/>
            <rFont val="Tahoma"/>
            <family val="2"/>
            <charset val="204"/>
          </rPr>
          <t xml:space="preserve">Hrvatska kovnica novca,
(Croatian Mint)
</t>
        </r>
      </text>
    </comment>
  </commentList>
</comments>
</file>

<file path=xl/sharedStrings.xml><?xml version="1.0" encoding="utf-8"?>
<sst xmlns="http://schemas.openxmlformats.org/spreadsheetml/2006/main" count="47" uniqueCount="34">
  <si>
    <t>Year</t>
  </si>
  <si>
    <t>Type</t>
  </si>
  <si>
    <t>Mintage</t>
  </si>
  <si>
    <t>2€</t>
  </si>
  <si>
    <t>№</t>
  </si>
  <si>
    <t>Link</t>
  </si>
  <si>
    <t>Description (single table, table set, mintage, prices):</t>
  </si>
  <si>
    <t>euro-coins</t>
  </si>
  <si>
    <t>Low convenience single table with mintages</t>
  </si>
  <si>
    <t>wiki</t>
  </si>
  <si>
    <t>Low convenience set of tables with mintages</t>
  </si>
  <si>
    <t>skopil</t>
  </si>
  <si>
    <t>Low convenience set of tables with photos</t>
  </si>
  <si>
    <t>en.ucoin</t>
  </si>
  <si>
    <t>Low convenience single table with varieties and mintages and photos</t>
  </si>
  <si>
    <t>eurocollection</t>
  </si>
  <si>
    <t>High convenience single table of varieties with photos</t>
  </si>
  <si>
    <t>High convenience set of tables table of actual coins with photos</t>
  </si>
  <si>
    <t>Obv: Without mint symbol</t>
  </si>
  <si>
    <t>Rev: new map of Europe</t>
  </si>
  <si>
    <t>HR</t>
  </si>
  <si>
    <t>250.000</t>
  </si>
  <si>
    <t>Introduction of the Euro</t>
  </si>
  <si>
    <t>Subject</t>
  </si>
  <si>
    <t>Subtype_1#Series</t>
  </si>
  <si>
    <t>Subtype_3#Map_of_Europe</t>
  </si>
  <si>
    <t>Old City of Varaždin</t>
  </si>
  <si>
    <t>200.000</t>
  </si>
  <si>
    <t>500th Anniversary - Death of Marko Marulić</t>
  </si>
  <si>
    <t>Subtype_2#Special_marks_1</t>
  </si>
  <si>
    <t>1100th Anniversary - Kingdom of Croatia and the Coronation of King Tomislav</t>
  </si>
  <si>
    <t>400.000</t>
  </si>
  <si>
    <t>Croatian Cities</t>
  </si>
  <si>
    <t>Pula.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</si>
</sst>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8"/>
      <name val="Calibri"/>
      <family val="2"/>
      <charset val="204"/>
    </font>
    <font>
      <sz val="11"/>
      <color rgb="FF0070C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5" fillId="0" borderId="0" xfId="1"/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 shrinkToFit="1"/>
    </xf>
    <xf numFmtId="3" fontId="2" fillId="5" borderId="1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0" fillId="0" borderId="0" xfId="0" applyFont="1" applyAlignment="1"/>
    <xf numFmtId="3" fontId="2" fillId="3" borderId="7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3" fontId="2" fillId="3" borderId="1" xfId="0" applyNumberFormat="1" applyFont="1" applyFill="1" applyBorder="1" applyAlignment="1">
      <alignment horizontal="center" vertical="center" shrinkToFit="1"/>
    </xf>
    <xf numFmtId="3" fontId="2" fillId="5" borderId="7" xfId="0" applyNumberFormat="1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shrinkToFit="1"/>
    </xf>
    <xf numFmtId="164" fontId="1" fillId="0" borderId="0" xfId="0" applyNumberFormat="1" applyFont="1"/>
    <xf numFmtId="0" fontId="4" fillId="2" borderId="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7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n.ucoin.net/catalog/?country=croatia&amp;type=2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" TargetMode="External"/><Relationship Id="rId5" Type="http://schemas.openxmlformats.org/officeDocument/2006/relationships/hyperlink" Target="http://www.eurocollection.co.uk/Variants.html" TargetMode="External"/><Relationship Id="rId4" Type="http://schemas.openxmlformats.org/officeDocument/2006/relationships/hyperlink" Target="https://www.euro-coins.info/info/mintage/croati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zoomScaleNormal="100" workbookViewId="0">
      <pane xSplit="8" ySplit="2" topLeftCell="I3" activePane="bottomRight" state="frozen"/>
      <selection pane="topRight" activeCell="F1" sqref="F1"/>
      <selection pane="bottomLeft" activeCell="A3" sqref="A3"/>
      <selection pane="bottomRight" activeCell="C33" sqref="C33"/>
    </sheetView>
  </sheetViews>
  <sheetFormatPr defaultColWidth="9.1796875" defaultRowHeight="15" customHeight="1" x14ac:dyDescent="0.35"/>
  <cols>
    <col min="1" max="1" width="5.6328125" style="10" customWidth="1"/>
    <col min="2" max="2" width="50.6328125" style="10" customWidth="1"/>
    <col min="3" max="5" width="33.6328125" style="10" customWidth="1"/>
    <col min="6" max="6" width="12.6328125" style="10" customWidth="1"/>
    <col min="7" max="7" width="3.6328125" style="10" customWidth="1"/>
    <col min="8" max="8" width="12.6328125" style="10" customWidth="1"/>
    <col min="9" max="9" width="14.26953125" style="1" customWidth="1"/>
    <col min="10" max="16384" width="9.1796875" style="1"/>
  </cols>
  <sheetData>
    <row r="1" spans="1:21" ht="15" customHeight="1" x14ac:dyDescent="0.35">
      <c r="A1" s="27" t="s">
        <v>0</v>
      </c>
      <c r="B1" s="25"/>
      <c r="C1" s="24"/>
      <c r="D1" s="29" t="s">
        <v>1</v>
      </c>
      <c r="E1" s="30"/>
      <c r="F1" s="21" t="s">
        <v>2</v>
      </c>
      <c r="G1" s="22" t="s">
        <v>3</v>
      </c>
      <c r="H1" s="2"/>
    </row>
    <row r="2" spans="1:21" ht="15" customHeight="1" x14ac:dyDescent="0.35">
      <c r="A2" s="28"/>
      <c r="B2" s="25" t="s">
        <v>23</v>
      </c>
      <c r="C2" s="3" t="s">
        <v>24</v>
      </c>
      <c r="D2" s="3" t="s">
        <v>29</v>
      </c>
      <c r="E2" s="3" t="s">
        <v>25</v>
      </c>
      <c r="F2" s="4" t="s">
        <v>20</v>
      </c>
      <c r="G2" s="11" t="s">
        <v>20</v>
      </c>
      <c r="H2" s="2"/>
    </row>
    <row r="3" spans="1:21" ht="15" customHeight="1" x14ac:dyDescent="0.35">
      <c r="A3" s="5">
        <v>2023</v>
      </c>
      <c r="B3" s="6" t="s">
        <v>22</v>
      </c>
      <c r="C3" s="20"/>
      <c r="D3" s="20" t="s">
        <v>18</v>
      </c>
      <c r="E3" s="7" t="s">
        <v>19</v>
      </c>
      <c r="F3" s="19" t="s">
        <v>21</v>
      </c>
      <c r="G3" s="8">
        <v>1</v>
      </c>
      <c r="H3" s="9" t="str">
        <f>IF(OR(AND(G3&gt;1,G3&lt;&gt;"-")),"Can exchange","")</f>
        <v/>
      </c>
    </row>
    <row r="4" spans="1:21" ht="15" customHeight="1" x14ac:dyDescent="0.35">
      <c r="A4" s="5">
        <v>2024</v>
      </c>
      <c r="B4" s="6" t="s">
        <v>26</v>
      </c>
      <c r="C4" s="20" t="s">
        <v>32</v>
      </c>
      <c r="D4" s="20" t="s">
        <v>18</v>
      </c>
      <c r="E4" s="7" t="s">
        <v>19</v>
      </c>
      <c r="F4" s="19" t="s">
        <v>27</v>
      </c>
      <c r="G4" s="8">
        <v>1</v>
      </c>
      <c r="H4" s="9" t="str">
        <f>IF(OR(AND(G4&gt;1,G4&lt;&gt;"-")),"Can exchange","")</f>
        <v/>
      </c>
    </row>
    <row r="5" spans="1:21" ht="15" customHeight="1" x14ac:dyDescent="0.35">
      <c r="A5" s="5">
        <v>2024</v>
      </c>
      <c r="B5" s="6" t="s">
        <v>28</v>
      </c>
      <c r="C5" s="20"/>
      <c r="D5" s="20" t="s">
        <v>18</v>
      </c>
      <c r="E5" s="7" t="s">
        <v>19</v>
      </c>
      <c r="F5" s="19" t="s">
        <v>27</v>
      </c>
      <c r="G5" s="26">
        <v>1</v>
      </c>
      <c r="H5" s="9" t="str">
        <f>IF(OR(AND(G5&gt;1,G5&lt;&gt;"-")),"Can exchange","")</f>
        <v/>
      </c>
    </row>
    <row r="6" spans="1:21" ht="15" customHeight="1" x14ac:dyDescent="0.35">
      <c r="A6" s="5">
        <v>2025</v>
      </c>
      <c r="B6" s="6" t="s">
        <v>30</v>
      </c>
      <c r="C6" s="20"/>
      <c r="D6" s="20" t="s">
        <v>18</v>
      </c>
      <c r="E6" s="7" t="s">
        <v>19</v>
      </c>
      <c r="F6" s="19" t="s">
        <v>31</v>
      </c>
      <c r="G6" s="8">
        <v>1</v>
      </c>
      <c r="H6" s="9" t="str">
        <f>IF(OR(AND(G6&gt;1,G6&lt;&gt;"-")),"Can exchange","")</f>
        <v/>
      </c>
    </row>
    <row r="7" spans="1:21" ht="15" customHeight="1" x14ac:dyDescent="0.35">
      <c r="A7" s="5">
        <v>2025</v>
      </c>
      <c r="B7" s="6" t="s">
        <v>33</v>
      </c>
      <c r="C7" s="20" t="s">
        <v>32</v>
      </c>
      <c r="D7" s="20" t="s">
        <v>18</v>
      </c>
      <c r="E7" s="7" t="s">
        <v>19</v>
      </c>
      <c r="F7" s="19" t="s">
        <v>27</v>
      </c>
      <c r="G7" s="8">
        <v>1</v>
      </c>
      <c r="H7" s="9" t="str">
        <f>IF(OR(AND(G7&gt;1,G7&lt;&gt;"-")),"Can exchange","")</f>
        <v/>
      </c>
    </row>
    <row r="12" spans="1:21" ht="15" customHeight="1" x14ac:dyDescent="0.35">
      <c r="T12" s="23"/>
      <c r="U12" s="23"/>
    </row>
  </sheetData>
  <autoFilter ref="B2:F2" xr:uid="{00000000-0001-0000-0000-000000000000}"/>
  <mergeCells count="2">
    <mergeCell ref="A1:A2"/>
    <mergeCell ref="D1:E1"/>
  </mergeCells>
  <phoneticPr fontId="8" type="noConversion"/>
  <conditionalFormatting sqref="G3:G4">
    <cfRule type="containsText" dxfId="6" priority="11" operator="containsText" text="*-">
      <formula>NOT(ISERROR(SEARCH(("*-"),(G3))))</formula>
    </cfRule>
  </conditionalFormatting>
  <conditionalFormatting sqref="G3:G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5" priority="5" operator="containsText" text="*-">
      <formula>NOT(ISERROR(SEARCH(("*-"),(G6))))</formula>
    </cfRule>
  </conditionalFormatting>
  <conditionalFormatting sqref="G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ntainsText" dxfId="4" priority="3" operator="containsText" text="*-">
      <formula>NOT(ISERROR(SEARCH(("*-"),(G7))))</formula>
    </cfRule>
  </conditionalFormatting>
  <conditionalFormatting sqref="G7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3" priority="1" operator="containsText" text="*-">
      <formula>NOT(ISERROR(SEARCH(("*-"),(G5))))</formula>
    </cfRule>
  </conditionalFormatting>
  <conditionalFormatting sqref="G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12" t="s">
        <v>4</v>
      </c>
      <c r="B1" s="13" t="s">
        <v>5</v>
      </c>
      <c r="C1" s="14" t="s">
        <v>6</v>
      </c>
    </row>
    <row r="2" spans="1:3" x14ac:dyDescent="0.35">
      <c r="A2" s="15">
        <v>1</v>
      </c>
      <c r="B2" s="16" t="s">
        <v>7</v>
      </c>
      <c r="C2" s="17" t="s">
        <v>8</v>
      </c>
    </row>
    <row r="3" spans="1:3" x14ac:dyDescent="0.35">
      <c r="A3" s="15">
        <v>2</v>
      </c>
      <c r="B3" s="16" t="s">
        <v>9</v>
      </c>
      <c r="C3" s="17" t="s">
        <v>10</v>
      </c>
    </row>
    <row r="4" spans="1:3" x14ac:dyDescent="0.35">
      <c r="A4" s="15">
        <v>3</v>
      </c>
      <c r="B4" s="16" t="s">
        <v>11</v>
      </c>
      <c r="C4" s="17" t="s">
        <v>12</v>
      </c>
    </row>
    <row r="5" spans="1:3" x14ac:dyDescent="0.35">
      <c r="A5" s="15">
        <v>4</v>
      </c>
      <c r="B5" s="16" t="s">
        <v>13</v>
      </c>
      <c r="C5" s="17" t="s">
        <v>14</v>
      </c>
    </row>
    <row r="6" spans="1:3" x14ac:dyDescent="0.35">
      <c r="A6" s="15">
        <v>5</v>
      </c>
      <c r="B6" s="16" t="s">
        <v>15</v>
      </c>
      <c r="C6" s="18" t="s">
        <v>16</v>
      </c>
    </row>
    <row r="7" spans="1:3" x14ac:dyDescent="0.35">
      <c r="A7" s="15">
        <v>6</v>
      </c>
      <c r="B7" s="16" t="s">
        <v>15</v>
      </c>
      <c r="C7" s="18" t="s">
        <v>17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6" r:id="rId5" xr:uid="{00000000-0004-0000-0100-000004000000}"/>
    <hyperlink ref="B7" r:id="rId6" xr:uid="{00000000-0004-0000-01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2026-02-02T03:44:04Z</dcterms:modified>
</cp:coreProperties>
</file>