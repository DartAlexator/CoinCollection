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San_Marino\"/>
    </mc:Choice>
  </mc:AlternateContent>
  <xr:revisionPtr revIDLastSave="0" documentId="13_ncr:1_{49954522-9A50-4FC7-ABCA-FBE31245078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29" i="1"/>
  <c r="I30" i="1"/>
  <c r="I31" i="1"/>
  <c r="I32" i="1"/>
  <c r="I28" i="1"/>
  <c r="I27" i="1"/>
  <c r="I26" i="1"/>
  <c r="I25" i="1" l="1"/>
  <c r="I18" i="1" l="1"/>
  <c r="I19" i="1"/>
  <c r="I20" i="1"/>
  <c r="I21" i="1"/>
  <c r="I22" i="1"/>
  <c r="I23" i="1"/>
  <c r="I2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4" i="1"/>
  <c r="I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<sst xmlns="http://schemas.openxmlformats.org/spreadsheetml/2006/main" count="181" uniqueCount="90">
  <si>
    <t>Year</t>
  </si>
  <si>
    <t>Type</t>
  </si>
  <si>
    <t>Mintage</t>
  </si>
  <si>
    <t>2€</t>
  </si>
  <si>
    <t>10 Years of Euro Cash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</si>
  <si>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</si>
  <si>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</si>
  <si>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</si>
  <si>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</si>
  <si>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</si>
  <si>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</si>
  <si>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</si>
  <si>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</si>
  <si>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</si>
  <si>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</si>
  <si>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</si>
  <si>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old map of Europe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</si>
  <si>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</si>
  <si>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</si>
  <si>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</si>
  <si>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</si>
  <si>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IT</t>
  </si>
  <si>
    <t>110.000</t>
  </si>
  <si>
    <t>130.000</t>
  </si>
  <si>
    <t>120.000</t>
  </si>
  <si>
    <t>115.000</t>
  </si>
  <si>
    <t>114.000</t>
  </si>
  <si>
    <t>100.000</t>
  </si>
  <si>
    <t>102.400</t>
  </si>
  <si>
    <t>87.400</t>
  </si>
  <si>
    <t>82.400</t>
  </si>
  <si>
    <t>73.100</t>
  </si>
  <si>
    <t>63.100</t>
  </si>
  <si>
    <t>Bartolomeo Borghesi</t>
  </si>
  <si>
    <t>2005: World Year of Physics</t>
  </si>
  <si>
    <t>500th Anniversary - Death of Christopher Columbus</t>
  </si>
  <si>
    <t>200th Anniversary - Birth of Giuseppe Garibaldi</t>
  </si>
  <si>
    <t>European Year of Intercultural Dialogue</t>
  </si>
  <si>
    <t>European Year of Creativity and Innovation</t>
  </si>
  <si>
    <t>500th Anniversary - Death of Sandro Botticelli</t>
  </si>
  <si>
    <t>500th Anniversary - Birth of Giorgio Vasari</t>
  </si>
  <si>
    <t>500th Anniversary - Death of Pinturicchio</t>
  </si>
  <si>
    <t>90th Anniversary - Death of Giacomo Puccini</t>
  </si>
  <si>
    <t>500th Anniversary - Death of Donato Bramante</t>
  </si>
  <si>
    <t>750th Anniversary - Birth of Dante Alighieri</t>
  </si>
  <si>
    <t>25th Anniversary - German Reunification</t>
  </si>
  <si>
    <t>550th Anniversary - Death of Donatello</t>
  </si>
  <si>
    <t>400th Anniversary - Death of William Shakespeare</t>
  </si>
  <si>
    <t>750th Anniversary - Birth of Giotto</t>
  </si>
  <si>
    <t>International Year of Tourism for Development</t>
  </si>
  <si>
    <t>500th Anniversary - Birth of Tintoretto</t>
  </si>
  <si>
    <t>420th Anniversary - Birth of Gian Lorenzo Bernini</t>
  </si>
  <si>
    <t>500th Anniversary - Death of Leonardo da Vinci</t>
  </si>
  <si>
    <t>550th Anniversary - Death of Filippo Lippi</t>
  </si>
  <si>
    <t>Obv: With mint symbol - "R"</t>
  </si>
  <si>
    <t>500 years since the death of Raphael</t>
  </si>
  <si>
    <t>250 years since the death of Giovanni Battista Tiepolo</t>
  </si>
  <si>
    <t>56.500</t>
  </si>
  <si>
    <t>450th Anniversary - Birth of Caravaggio</t>
  </si>
  <si>
    <t>54.000</t>
  </si>
  <si>
    <t>550th Anniversary - Birth of Albrecht Dürer</t>
  </si>
  <si>
    <t>530th Anniversary - Death of Piero della Francesca</t>
  </si>
  <si>
    <t>55.000</t>
  </si>
  <si>
    <t>200th Anniversary - Death of Antonio Canova</t>
  </si>
  <si>
    <t>56.000</t>
  </si>
  <si>
    <t>500th Anniversary - Death of Luca Signorelli</t>
  </si>
  <si>
    <t>500th Anniversary - Death of Perugino</t>
  </si>
  <si>
    <t>Subject</t>
  </si>
  <si>
    <t>Subtype_1#Series</t>
  </si>
  <si>
    <t>Subtype_3#Map_of_Europe</t>
  </si>
  <si>
    <t>50th Anniversary - Declaration of Civil Rights and the Basic Principles of the Legal System</t>
  </si>
  <si>
    <t>59.000</t>
  </si>
  <si>
    <t xml:space="preserve">530th anniversary of the death of Ghirlandaio	</t>
  </si>
  <si>
    <t>Holy Year 2025 - Pilgrims of hope</t>
  </si>
  <si>
    <t>Subtype_2#Special_marks_1</t>
  </si>
  <si>
    <t>Positioning</t>
  </si>
  <si>
    <t>$Album_page</t>
  </si>
  <si>
    <t>1st page</t>
  </si>
  <si>
    <t>2nd page</t>
  </si>
  <si>
    <t>3rd page</t>
  </si>
  <si>
    <t>4th page</t>
  </si>
  <si>
    <t>5th page</t>
  </si>
  <si>
    <t>6th page</t>
  </si>
  <si>
    <t>7th page</t>
  </si>
  <si>
    <t>8th page</t>
  </si>
  <si>
    <t>9th page</t>
  </si>
  <si>
    <t>550th Anniversary - Birth of Michelangelo</t>
  </si>
  <si>
    <t>10th page</t>
  </si>
  <si>
    <t>800th Anniversary - Death of Francis of Assisi</t>
  </si>
  <si>
    <t>450th Anniversary - Death of Titian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</si>
</sst>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color theme="0" tint="-4.9989318521683403E-2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8" fillId="2" borderId="1" xfId="0" applyNumberFormat="1" applyFont="1" applyFill="1" applyBorder="1" applyAlignment="1">
      <alignment horizontal="center" vertical="center" shrinkToFit="1"/>
    </xf>
    <xf numFmtId="3" fontId="2" fillId="6" borderId="7" xfId="0" applyNumberFormat="1" applyFont="1" applyFill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3" fontId="2" fillId="5" borderId="7" xfId="0" applyNumberFormat="1" applyFont="1" applyFill="1" applyBorder="1" applyAlignment="1">
      <alignment horizontal="center" vertical="center" shrinkToFit="1"/>
    </xf>
    <xf numFmtId="3" fontId="8" fillId="2" borderId="7" xfId="0" applyNumberFormat="1" applyFont="1" applyFill="1" applyBorder="1" applyAlignment="1">
      <alignment horizontal="center" vertical="center" shrinkToFit="1"/>
    </xf>
    <xf numFmtId="0" fontId="10" fillId="0" borderId="8" xfId="0" applyFont="1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3" fontId="2" fillId="5" borderId="9" xfId="0" applyNumberFormat="1" applyFont="1" applyFill="1" applyBorder="1" applyAlignment="1">
      <alignment horizontal="center" vertical="center" shrinkToFit="1"/>
    </xf>
    <xf numFmtId="3" fontId="2" fillId="6" borderId="9" xfId="0" applyNumberFormat="1" applyFont="1" applyFill="1" applyBorder="1" applyAlignment="1">
      <alignment horizontal="center" vertical="center" shrinkToFit="1"/>
    </xf>
    <xf numFmtId="3" fontId="8" fillId="2" borderId="9" xfId="0" applyNumberFormat="1" applyFont="1" applyFill="1" applyBorder="1" applyAlignment="1">
      <alignment horizontal="center" vertical="center" shrinkToFit="1"/>
    </xf>
    <xf numFmtId="0" fontId="10" fillId="0" borderId="10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1" fillId="15" borderId="11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3" fontId="2" fillId="5" borderId="13" xfId="0" applyNumberFormat="1" applyFont="1" applyFill="1" applyBorder="1" applyAlignment="1">
      <alignment horizontal="center" vertical="center" shrinkToFit="1"/>
    </xf>
    <xf numFmtId="3" fontId="2" fillId="6" borderId="14" xfId="0" applyNumberFormat="1" applyFont="1" applyFill="1" applyBorder="1" applyAlignment="1">
      <alignment horizontal="center" vertical="center" shrinkToFit="1"/>
    </xf>
    <xf numFmtId="3" fontId="2" fillId="6" borderId="13" xfId="0" applyNumberFormat="1" applyFont="1" applyFill="1" applyBorder="1" applyAlignment="1">
      <alignment horizontal="center" vertical="center" shrinkToFit="1"/>
    </xf>
    <xf numFmtId="3" fontId="8" fillId="2" borderId="13" xfId="0" applyNumberFormat="1" applyFont="1" applyFill="1" applyBorder="1" applyAlignment="1">
      <alignment horizontal="center" vertical="center" shrinkToFit="1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2" fillId="8" borderId="0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2" fillId="8" borderId="18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7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san_marino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san-marin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C35" sqref="C35"/>
    </sheetView>
  </sheetViews>
  <sheetFormatPr defaultColWidth="9.1796875" defaultRowHeight="15" customHeight="1" x14ac:dyDescent="0.35"/>
  <cols>
    <col min="1" max="1" width="5.6328125" style="9" customWidth="1"/>
    <col min="2" max="2" width="50.6328125" style="9" customWidth="1"/>
    <col min="3" max="5" width="33.6328125" style="9" customWidth="1"/>
    <col min="6" max="6" width="12.6328125" style="9" customWidth="1"/>
    <col min="7" max="7" width="3.6328125" style="9" customWidth="1"/>
    <col min="8" max="8" width="12.6328125" style="9" customWidth="1"/>
    <col min="9" max="9" width="12.6328125" style="1" customWidth="1"/>
    <col min="10" max="16384" width="9.1796875" style="1"/>
  </cols>
  <sheetData>
    <row r="1" spans="1:9" ht="15" customHeight="1" x14ac:dyDescent="0.35">
      <c r="A1" s="59" t="s">
        <v>0</v>
      </c>
      <c r="B1" s="31"/>
      <c r="C1" s="20"/>
      <c r="D1" s="61" t="s">
        <v>1</v>
      </c>
      <c r="E1" s="62"/>
      <c r="F1" s="2" t="s">
        <v>2</v>
      </c>
      <c r="G1" s="17" t="s">
        <v>3</v>
      </c>
      <c r="H1" s="31" t="s">
        <v>75</v>
      </c>
    </row>
    <row r="2" spans="1:9" ht="15" customHeight="1" x14ac:dyDescent="0.35">
      <c r="A2" s="60"/>
      <c r="B2" s="31" t="s">
        <v>67</v>
      </c>
      <c r="C2" s="3" t="s">
        <v>68</v>
      </c>
      <c r="D2" s="3" t="s">
        <v>74</v>
      </c>
      <c r="E2" s="3" t="s">
        <v>69</v>
      </c>
      <c r="F2" s="4" t="s">
        <v>21</v>
      </c>
      <c r="G2" s="3" t="s">
        <v>21</v>
      </c>
      <c r="H2" s="48" t="s">
        <v>76</v>
      </c>
    </row>
    <row r="3" spans="1:9" ht="15" customHeight="1" x14ac:dyDescent="0.35">
      <c r="A3" s="22">
        <v>2004</v>
      </c>
      <c r="B3" s="23" t="s">
        <v>33</v>
      </c>
      <c r="C3" s="19"/>
      <c r="D3" s="19" t="s">
        <v>54</v>
      </c>
      <c r="E3" s="19" t="s">
        <v>16</v>
      </c>
      <c r="F3" s="24" t="s">
        <v>22</v>
      </c>
      <c r="G3" s="25">
        <v>1</v>
      </c>
      <c r="H3" s="39" t="s">
        <v>77</v>
      </c>
      <c r="I3" s="8" t="str">
        <f t="shared" ref="I3:I36" si="0">IF(OR(AND(G3&gt;1,G3&lt;&gt;"-")),"Can exchange","")</f>
        <v/>
      </c>
    </row>
    <row r="4" spans="1:9" ht="15" customHeight="1" thickBot="1" x14ac:dyDescent="0.4">
      <c r="A4" s="49">
        <v>2005</v>
      </c>
      <c r="B4" s="50" t="s">
        <v>34</v>
      </c>
      <c r="C4" s="51"/>
      <c r="D4" s="51" t="s">
        <v>54</v>
      </c>
      <c r="E4" s="52" t="s">
        <v>16</v>
      </c>
      <c r="F4" s="53" t="s">
        <v>23</v>
      </c>
      <c r="G4" s="54">
        <v>1</v>
      </c>
      <c r="H4" s="39"/>
      <c r="I4" s="8" t="str">
        <f t="shared" si="0"/>
        <v/>
      </c>
    </row>
    <row r="5" spans="1:9" ht="15" customHeight="1" x14ac:dyDescent="0.35">
      <c r="A5" s="26">
        <v>2006</v>
      </c>
      <c r="B5" s="27" t="s">
        <v>35</v>
      </c>
      <c r="C5" s="28"/>
      <c r="D5" s="28" t="s">
        <v>54</v>
      </c>
      <c r="E5" s="28" t="s">
        <v>16</v>
      </c>
      <c r="F5" s="29" t="s">
        <v>24</v>
      </c>
      <c r="G5" s="30">
        <v>1</v>
      </c>
      <c r="H5" s="58" t="s">
        <v>78</v>
      </c>
      <c r="I5" s="8" t="str">
        <f t="shared" si="0"/>
        <v/>
      </c>
    </row>
    <row r="6" spans="1:9" ht="15" customHeight="1" x14ac:dyDescent="0.35">
      <c r="A6" s="5">
        <v>2007</v>
      </c>
      <c r="B6" s="6" t="s">
        <v>36</v>
      </c>
      <c r="C6" s="19"/>
      <c r="D6" s="19" t="s">
        <v>54</v>
      </c>
      <c r="E6" s="7" t="s">
        <v>16</v>
      </c>
      <c r="F6" s="18" t="s">
        <v>23</v>
      </c>
      <c r="G6" s="57">
        <v>1</v>
      </c>
      <c r="H6" s="40"/>
      <c r="I6" s="8" t="str">
        <f t="shared" si="0"/>
        <v/>
      </c>
    </row>
    <row r="7" spans="1:9" ht="15" customHeight="1" x14ac:dyDescent="0.35">
      <c r="A7" s="5">
        <v>2008</v>
      </c>
      <c r="B7" s="6" t="s">
        <v>37</v>
      </c>
      <c r="C7" s="7"/>
      <c r="D7" s="7" t="s">
        <v>54</v>
      </c>
      <c r="E7" s="7" t="s">
        <v>17</v>
      </c>
      <c r="F7" s="18" t="s">
        <v>23</v>
      </c>
      <c r="G7" s="55">
        <v>1</v>
      </c>
      <c r="H7" s="56"/>
      <c r="I7" s="8" t="str">
        <f t="shared" si="0"/>
        <v/>
      </c>
    </row>
    <row r="8" spans="1:9" ht="15" customHeight="1" thickBot="1" x14ac:dyDescent="0.4">
      <c r="A8" s="49">
        <v>2009</v>
      </c>
      <c r="B8" s="50" t="s">
        <v>38</v>
      </c>
      <c r="C8" s="51"/>
      <c r="D8" s="51" t="s">
        <v>54</v>
      </c>
      <c r="E8" s="52" t="s">
        <v>17</v>
      </c>
      <c r="F8" s="53" t="s">
        <v>23</v>
      </c>
      <c r="G8" s="54">
        <v>1</v>
      </c>
      <c r="H8" s="40"/>
      <c r="I8" s="8" t="str">
        <f t="shared" si="0"/>
        <v/>
      </c>
    </row>
    <row r="9" spans="1:9" ht="15" customHeight="1" x14ac:dyDescent="0.35">
      <c r="A9" s="26">
        <v>2010</v>
      </c>
      <c r="B9" s="27" t="s">
        <v>39</v>
      </c>
      <c r="C9" s="28"/>
      <c r="D9" s="28" t="s">
        <v>54</v>
      </c>
      <c r="E9" s="28" t="s">
        <v>17</v>
      </c>
      <c r="F9" s="29" t="s">
        <v>23</v>
      </c>
      <c r="G9" s="30">
        <v>1</v>
      </c>
      <c r="H9" s="41" t="s">
        <v>79</v>
      </c>
      <c r="I9" s="8" t="str">
        <f t="shared" si="0"/>
        <v/>
      </c>
    </row>
    <row r="10" spans="1:9" ht="15" customHeight="1" x14ac:dyDescent="0.35">
      <c r="A10" s="5">
        <v>2011</v>
      </c>
      <c r="B10" s="6" t="s">
        <v>40</v>
      </c>
      <c r="C10" s="19"/>
      <c r="D10" s="19" t="s">
        <v>54</v>
      </c>
      <c r="E10" s="7" t="s">
        <v>17</v>
      </c>
      <c r="F10" s="18" t="s">
        <v>23</v>
      </c>
      <c r="G10" s="57">
        <v>1</v>
      </c>
      <c r="H10" s="42"/>
      <c r="I10" s="8" t="str">
        <f t="shared" si="0"/>
        <v/>
      </c>
    </row>
    <row r="11" spans="1:9" ht="15" customHeight="1" x14ac:dyDescent="0.35">
      <c r="A11" s="5">
        <v>2012</v>
      </c>
      <c r="B11" s="6" t="s">
        <v>4</v>
      </c>
      <c r="C11" s="7"/>
      <c r="D11" s="7" t="s">
        <v>54</v>
      </c>
      <c r="E11" s="7" t="s">
        <v>17</v>
      </c>
      <c r="F11" s="18" t="s">
        <v>23</v>
      </c>
      <c r="G11" s="55">
        <v>1</v>
      </c>
      <c r="H11" s="42"/>
      <c r="I11" s="8" t="str">
        <f t="shared" si="0"/>
        <v/>
      </c>
    </row>
    <row r="12" spans="1:9" ht="15" customHeight="1" thickBot="1" x14ac:dyDescent="0.4">
      <c r="A12" s="49">
        <v>2013</v>
      </c>
      <c r="B12" s="50" t="s">
        <v>41</v>
      </c>
      <c r="C12" s="51"/>
      <c r="D12" s="51" t="s">
        <v>54</v>
      </c>
      <c r="E12" s="52" t="s">
        <v>17</v>
      </c>
      <c r="F12" s="53" t="s">
        <v>25</v>
      </c>
      <c r="G12" s="54">
        <v>1</v>
      </c>
      <c r="H12" s="42"/>
      <c r="I12" s="8" t="str">
        <f t="shared" si="0"/>
        <v/>
      </c>
    </row>
    <row r="13" spans="1:9" ht="15" customHeight="1" x14ac:dyDescent="0.35">
      <c r="A13" s="26">
        <v>2014</v>
      </c>
      <c r="B13" s="27" t="s">
        <v>43</v>
      </c>
      <c r="C13" s="28"/>
      <c r="D13" s="28" t="s">
        <v>54</v>
      </c>
      <c r="E13" s="28" t="s">
        <v>17</v>
      </c>
      <c r="F13" s="29" t="s">
        <v>26</v>
      </c>
      <c r="G13" s="30">
        <v>1</v>
      </c>
      <c r="H13" s="43" t="s">
        <v>80</v>
      </c>
      <c r="I13" s="8" t="str">
        <f t="shared" si="0"/>
        <v/>
      </c>
    </row>
    <row r="14" spans="1:9" ht="15" customHeight="1" x14ac:dyDescent="0.35">
      <c r="A14" s="5">
        <v>2014</v>
      </c>
      <c r="B14" s="6" t="s">
        <v>42</v>
      </c>
      <c r="C14" s="19"/>
      <c r="D14" s="19" t="s">
        <v>54</v>
      </c>
      <c r="E14" s="7" t="s">
        <v>17</v>
      </c>
      <c r="F14" s="18" t="s">
        <v>27</v>
      </c>
      <c r="G14" s="57">
        <v>1</v>
      </c>
      <c r="H14" s="35"/>
      <c r="I14" s="8" t="str">
        <f t="shared" si="0"/>
        <v/>
      </c>
    </row>
    <row r="15" spans="1:9" ht="15" customHeight="1" x14ac:dyDescent="0.35">
      <c r="A15" s="5">
        <v>2015</v>
      </c>
      <c r="B15" s="6" t="s">
        <v>44</v>
      </c>
      <c r="C15" s="7"/>
      <c r="D15" s="7" t="s">
        <v>54</v>
      </c>
      <c r="E15" s="7" t="s">
        <v>17</v>
      </c>
      <c r="F15" s="18" t="s">
        <v>28</v>
      </c>
      <c r="G15" s="55">
        <v>1</v>
      </c>
      <c r="H15" s="35"/>
      <c r="I15" s="8" t="str">
        <f t="shared" si="0"/>
        <v/>
      </c>
    </row>
    <row r="16" spans="1:9" ht="15" customHeight="1" thickBot="1" x14ac:dyDescent="0.4">
      <c r="A16" s="49">
        <v>2015</v>
      </c>
      <c r="B16" s="50" t="s">
        <v>45</v>
      </c>
      <c r="C16" s="51"/>
      <c r="D16" s="51" t="s">
        <v>54</v>
      </c>
      <c r="E16" s="52" t="s">
        <v>17</v>
      </c>
      <c r="F16" s="53" t="s">
        <v>28</v>
      </c>
      <c r="G16" s="54">
        <v>1</v>
      </c>
      <c r="H16" s="35"/>
      <c r="I16" s="8" t="str">
        <f t="shared" si="0"/>
        <v/>
      </c>
    </row>
    <row r="17" spans="1:9" ht="15" customHeight="1" x14ac:dyDescent="0.35">
      <c r="A17" s="26">
        <v>2016</v>
      </c>
      <c r="B17" s="27" t="s">
        <v>46</v>
      </c>
      <c r="C17" s="28"/>
      <c r="D17" s="28" t="s">
        <v>54</v>
      </c>
      <c r="E17" s="28" t="s">
        <v>17</v>
      </c>
      <c r="F17" s="29" t="s">
        <v>29</v>
      </c>
      <c r="G17" s="30">
        <v>1</v>
      </c>
      <c r="H17" s="36" t="s">
        <v>81</v>
      </c>
      <c r="I17" s="8" t="str">
        <f t="shared" si="0"/>
        <v/>
      </c>
    </row>
    <row r="18" spans="1:9" ht="15" customHeight="1" x14ac:dyDescent="0.35">
      <c r="A18" s="5">
        <v>2016</v>
      </c>
      <c r="B18" s="6" t="s">
        <v>47</v>
      </c>
      <c r="C18" s="19"/>
      <c r="D18" s="19" t="s">
        <v>54</v>
      </c>
      <c r="E18" s="7" t="s">
        <v>17</v>
      </c>
      <c r="F18" s="18" t="s">
        <v>30</v>
      </c>
      <c r="G18" s="57">
        <v>1</v>
      </c>
      <c r="H18" s="37"/>
      <c r="I18" s="8" t="str">
        <f t="shared" si="0"/>
        <v/>
      </c>
    </row>
    <row r="19" spans="1:9" ht="15" customHeight="1" x14ac:dyDescent="0.35">
      <c r="A19" s="5">
        <v>2017</v>
      </c>
      <c r="B19" s="6" t="s">
        <v>48</v>
      </c>
      <c r="C19" s="7"/>
      <c r="D19" s="7" t="s">
        <v>54</v>
      </c>
      <c r="E19" s="7" t="s">
        <v>17</v>
      </c>
      <c r="F19" s="18" t="s">
        <v>31</v>
      </c>
      <c r="G19" s="55">
        <v>1</v>
      </c>
      <c r="H19" s="37"/>
      <c r="I19" s="8" t="str">
        <f t="shared" si="0"/>
        <v/>
      </c>
    </row>
    <row r="20" spans="1:9" ht="15" customHeight="1" thickBot="1" x14ac:dyDescent="0.4">
      <c r="A20" s="49">
        <v>2017</v>
      </c>
      <c r="B20" s="50" t="s">
        <v>49</v>
      </c>
      <c r="C20" s="51"/>
      <c r="D20" s="51" t="s">
        <v>54</v>
      </c>
      <c r="E20" s="52" t="s">
        <v>17</v>
      </c>
      <c r="F20" s="53" t="s">
        <v>31</v>
      </c>
      <c r="G20" s="54">
        <v>1</v>
      </c>
      <c r="H20" s="37"/>
      <c r="I20" s="8" t="str">
        <f t="shared" si="0"/>
        <v/>
      </c>
    </row>
    <row r="21" spans="1:9" ht="15" customHeight="1" x14ac:dyDescent="0.35">
      <c r="A21" s="26">
        <v>2018</v>
      </c>
      <c r="B21" s="27" t="s">
        <v>50</v>
      </c>
      <c r="C21" s="28"/>
      <c r="D21" s="28" t="s">
        <v>54</v>
      </c>
      <c r="E21" s="28" t="s">
        <v>17</v>
      </c>
      <c r="F21" s="29" t="s">
        <v>32</v>
      </c>
      <c r="G21" s="30">
        <v>1</v>
      </c>
      <c r="H21" s="38" t="s">
        <v>82</v>
      </c>
      <c r="I21" s="8" t="str">
        <f t="shared" si="0"/>
        <v/>
      </c>
    </row>
    <row r="22" spans="1:9" ht="15" customHeight="1" x14ac:dyDescent="0.35">
      <c r="A22" s="5">
        <v>2018</v>
      </c>
      <c r="B22" s="6" t="s">
        <v>51</v>
      </c>
      <c r="C22" s="19"/>
      <c r="D22" s="19" t="s">
        <v>54</v>
      </c>
      <c r="E22" s="7" t="s">
        <v>17</v>
      </c>
      <c r="F22" s="18" t="s">
        <v>32</v>
      </c>
      <c r="G22" s="57">
        <v>1</v>
      </c>
      <c r="H22" s="32"/>
      <c r="I22" s="8" t="str">
        <f t="shared" si="0"/>
        <v/>
      </c>
    </row>
    <row r="23" spans="1:9" ht="15" customHeight="1" x14ac:dyDescent="0.35">
      <c r="A23" s="5">
        <v>2019</v>
      </c>
      <c r="B23" s="6" t="s">
        <v>52</v>
      </c>
      <c r="C23" s="7"/>
      <c r="D23" s="7" t="s">
        <v>54</v>
      </c>
      <c r="E23" s="7" t="s">
        <v>17</v>
      </c>
      <c r="F23" s="18" t="s">
        <v>57</v>
      </c>
      <c r="G23" s="55">
        <v>1</v>
      </c>
      <c r="H23" s="32"/>
      <c r="I23" s="8" t="str">
        <f t="shared" si="0"/>
        <v/>
      </c>
    </row>
    <row r="24" spans="1:9" ht="15" customHeight="1" thickBot="1" x14ac:dyDescent="0.4">
      <c r="A24" s="49">
        <v>2019</v>
      </c>
      <c r="B24" s="50" t="s">
        <v>53</v>
      </c>
      <c r="C24" s="51"/>
      <c r="D24" s="51" t="s">
        <v>54</v>
      </c>
      <c r="E24" s="52" t="s">
        <v>17</v>
      </c>
      <c r="F24" s="53" t="s">
        <v>57</v>
      </c>
      <c r="G24" s="54">
        <v>1</v>
      </c>
      <c r="H24" s="32"/>
      <c r="I24" s="8" t="str">
        <f t="shared" si="0"/>
        <v/>
      </c>
    </row>
    <row r="25" spans="1:9" ht="15" customHeight="1" x14ac:dyDescent="0.35">
      <c r="A25" s="26">
        <v>2020</v>
      </c>
      <c r="B25" s="27" t="s">
        <v>55</v>
      </c>
      <c r="C25" s="28"/>
      <c r="D25" s="28" t="s">
        <v>54</v>
      </c>
      <c r="E25" s="28" t="s">
        <v>17</v>
      </c>
      <c r="F25" s="29" t="s">
        <v>57</v>
      </c>
      <c r="G25" s="30">
        <v>1</v>
      </c>
      <c r="H25" s="34" t="s">
        <v>83</v>
      </c>
      <c r="I25" s="8" t="str">
        <f t="shared" si="0"/>
        <v/>
      </c>
    </row>
    <row r="26" spans="1:9" ht="15" customHeight="1" x14ac:dyDescent="0.35">
      <c r="A26" s="5">
        <v>2020</v>
      </c>
      <c r="B26" s="6" t="s">
        <v>56</v>
      </c>
      <c r="C26" s="19"/>
      <c r="D26" s="19" t="s">
        <v>54</v>
      </c>
      <c r="E26" s="7" t="s">
        <v>17</v>
      </c>
      <c r="F26" s="18" t="s">
        <v>57</v>
      </c>
      <c r="G26" s="57">
        <v>1</v>
      </c>
      <c r="H26" s="33"/>
      <c r="I26" s="8" t="str">
        <f t="shared" si="0"/>
        <v/>
      </c>
    </row>
    <row r="27" spans="1:9" ht="15" customHeight="1" x14ac:dyDescent="0.35">
      <c r="A27" s="5">
        <v>2021</v>
      </c>
      <c r="B27" s="6" t="s">
        <v>58</v>
      </c>
      <c r="C27" s="7"/>
      <c r="D27" s="7" t="s">
        <v>54</v>
      </c>
      <c r="E27" s="7" t="s">
        <v>17</v>
      </c>
      <c r="F27" s="18" t="s">
        <v>59</v>
      </c>
      <c r="G27" s="55">
        <v>1</v>
      </c>
      <c r="H27" s="33"/>
      <c r="I27" s="8" t="str">
        <f t="shared" si="0"/>
        <v/>
      </c>
    </row>
    <row r="28" spans="1:9" ht="15" customHeight="1" thickBot="1" x14ac:dyDescent="0.4">
      <c r="A28" s="49">
        <v>2021</v>
      </c>
      <c r="B28" s="50" t="s">
        <v>60</v>
      </c>
      <c r="C28" s="51"/>
      <c r="D28" s="51" t="s">
        <v>54</v>
      </c>
      <c r="E28" s="52" t="s">
        <v>17</v>
      </c>
      <c r="F28" s="53" t="s">
        <v>59</v>
      </c>
      <c r="G28" s="54">
        <v>1</v>
      </c>
      <c r="H28" s="33"/>
      <c r="I28" s="8" t="str">
        <f t="shared" si="0"/>
        <v/>
      </c>
    </row>
    <row r="29" spans="1:9" ht="15" customHeight="1" x14ac:dyDescent="0.35">
      <c r="A29" s="26">
        <v>2022</v>
      </c>
      <c r="B29" s="27" t="s">
        <v>61</v>
      </c>
      <c r="C29" s="28"/>
      <c r="D29" s="28" t="s">
        <v>54</v>
      </c>
      <c r="E29" s="28" t="s">
        <v>17</v>
      </c>
      <c r="F29" s="29" t="s">
        <v>62</v>
      </c>
      <c r="G29" s="30">
        <v>1</v>
      </c>
      <c r="H29" s="44" t="s">
        <v>84</v>
      </c>
      <c r="I29" s="8" t="str">
        <f t="shared" si="0"/>
        <v/>
      </c>
    </row>
    <row r="30" spans="1:9" ht="15" customHeight="1" x14ac:dyDescent="0.35">
      <c r="A30" s="5">
        <v>2022</v>
      </c>
      <c r="B30" s="6" t="s">
        <v>63</v>
      </c>
      <c r="C30" s="19"/>
      <c r="D30" s="19" t="s">
        <v>54</v>
      </c>
      <c r="E30" s="7" t="s">
        <v>17</v>
      </c>
      <c r="F30" s="18" t="s">
        <v>62</v>
      </c>
      <c r="G30" s="57">
        <v>1</v>
      </c>
      <c r="H30" s="45"/>
      <c r="I30" s="8" t="str">
        <f t="shared" si="0"/>
        <v/>
      </c>
    </row>
    <row r="31" spans="1:9" ht="15" customHeight="1" x14ac:dyDescent="0.35">
      <c r="A31" s="5">
        <v>2023</v>
      </c>
      <c r="B31" s="6" t="s">
        <v>65</v>
      </c>
      <c r="C31" s="7"/>
      <c r="D31" s="7" t="s">
        <v>54</v>
      </c>
      <c r="E31" s="7" t="s">
        <v>17</v>
      </c>
      <c r="F31" s="18" t="s">
        <v>64</v>
      </c>
      <c r="G31" s="55">
        <v>1</v>
      </c>
      <c r="H31" s="45"/>
      <c r="I31" s="8" t="str">
        <f t="shared" si="0"/>
        <v/>
      </c>
    </row>
    <row r="32" spans="1:9" ht="15" customHeight="1" thickBot="1" x14ac:dyDescent="0.4">
      <c r="A32" s="49">
        <v>2023</v>
      </c>
      <c r="B32" s="50" t="s">
        <v>66</v>
      </c>
      <c r="C32" s="51"/>
      <c r="D32" s="51" t="s">
        <v>54</v>
      </c>
      <c r="E32" s="52" t="s">
        <v>17</v>
      </c>
      <c r="F32" s="53" t="s">
        <v>64</v>
      </c>
      <c r="G32" s="54">
        <v>1</v>
      </c>
      <c r="H32" s="45"/>
      <c r="I32" s="8" t="str">
        <f t="shared" si="0"/>
        <v/>
      </c>
    </row>
    <row r="33" spans="1:9" ht="15" customHeight="1" x14ac:dyDescent="0.35">
      <c r="A33" s="26">
        <v>2024</v>
      </c>
      <c r="B33" s="27" t="s">
        <v>70</v>
      </c>
      <c r="C33" s="28"/>
      <c r="D33" s="28" t="s">
        <v>54</v>
      </c>
      <c r="E33" s="28" t="s">
        <v>17</v>
      </c>
      <c r="F33" s="29" t="s">
        <v>71</v>
      </c>
      <c r="G33" s="30">
        <v>1</v>
      </c>
      <c r="H33" s="46" t="s">
        <v>85</v>
      </c>
      <c r="I33" s="8" t="str">
        <f t="shared" si="0"/>
        <v/>
      </c>
    </row>
    <row r="34" spans="1:9" ht="15" customHeight="1" x14ac:dyDescent="0.35">
      <c r="A34" s="5">
        <v>2024</v>
      </c>
      <c r="B34" s="6" t="s">
        <v>72</v>
      </c>
      <c r="C34" s="19"/>
      <c r="D34" s="19" t="s">
        <v>54</v>
      </c>
      <c r="E34" s="7" t="s">
        <v>17</v>
      </c>
      <c r="F34" s="18" t="s">
        <v>64</v>
      </c>
      <c r="G34" s="57">
        <v>1</v>
      </c>
      <c r="H34" s="47"/>
      <c r="I34" s="8" t="str">
        <f t="shared" si="0"/>
        <v/>
      </c>
    </row>
    <row r="35" spans="1:9" ht="15" customHeight="1" x14ac:dyDescent="0.35">
      <c r="A35" s="5">
        <v>2025</v>
      </c>
      <c r="B35" s="6" t="s">
        <v>73</v>
      </c>
      <c r="C35" s="7"/>
      <c r="D35" s="7" t="s">
        <v>54</v>
      </c>
      <c r="E35" s="7" t="s">
        <v>17</v>
      </c>
      <c r="F35" s="18" t="s">
        <v>71</v>
      </c>
      <c r="G35" s="55">
        <v>1</v>
      </c>
      <c r="H35" s="47"/>
      <c r="I35" s="8" t="str">
        <f t="shared" si="0"/>
        <v/>
      </c>
    </row>
    <row r="36" spans="1:9" ht="15" customHeight="1" thickBot="1" x14ac:dyDescent="0.4">
      <c r="A36" s="5">
        <v>2025</v>
      </c>
      <c r="B36" s="6" t="s">
        <v>86</v>
      </c>
      <c r="C36" s="19"/>
      <c r="D36" s="7" t="s">
        <v>54</v>
      </c>
      <c r="E36" s="7" t="s">
        <v>17</v>
      </c>
      <c r="F36" s="18" t="s">
        <v>71</v>
      </c>
      <c r="G36" s="21">
        <v>1</v>
      </c>
      <c r="H36" s="47"/>
      <c r="I36" s="8" t="str">
        <f t="shared" si="0"/>
        <v/>
      </c>
    </row>
    <row r="37" spans="1:9" ht="15" customHeight="1" x14ac:dyDescent="0.35">
      <c r="A37" s="26">
        <v>2026</v>
      </c>
      <c r="B37" s="27" t="s">
        <v>88</v>
      </c>
      <c r="C37" s="28"/>
      <c r="D37" s="28" t="s">
        <v>54</v>
      </c>
      <c r="E37" s="28" t="s">
        <v>17</v>
      </c>
      <c r="F37" s="29" t="s">
        <v>71</v>
      </c>
      <c r="G37" s="30">
        <v>0</v>
      </c>
      <c r="H37" s="39" t="s">
        <v>87</v>
      </c>
    </row>
    <row r="38" spans="1:9" ht="15" customHeight="1" x14ac:dyDescent="0.35">
      <c r="A38" s="5">
        <v>2026</v>
      </c>
      <c r="B38" s="6" t="s">
        <v>89</v>
      </c>
      <c r="C38" s="19"/>
      <c r="D38" s="19" t="s">
        <v>54</v>
      </c>
      <c r="E38" s="7" t="s">
        <v>17</v>
      </c>
      <c r="F38" s="18" t="s">
        <v>64</v>
      </c>
      <c r="G38" s="57">
        <v>0</v>
      </c>
      <c r="H38" s="39"/>
    </row>
  </sheetData>
  <autoFilter ref="B2:F2" xr:uid="{00000000-0001-0000-0000-000000000000}"/>
  <mergeCells count="2">
    <mergeCell ref="A1:A2"/>
    <mergeCell ref="D1:E1"/>
  </mergeCells>
  <phoneticPr fontId="9" type="noConversion"/>
  <conditionalFormatting sqref="G3:G34">
    <cfRule type="containsText" dxfId="6" priority="7" operator="containsText" text="*-">
      <formula>NOT(ISERROR(SEARCH(("*-"),(G3))))</formula>
    </cfRule>
  </conditionalFormatting>
  <conditionalFormatting sqref="G3:G3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5" priority="5" operator="containsText" text="*-">
      <formula>NOT(ISERROR(SEARCH(("*-"),(G35))))</formula>
    </cfRule>
  </conditionalFormatting>
  <conditionalFormatting sqref="G3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4" priority="3" operator="containsText" text="*-">
      <formula>NOT(ISERROR(SEARCH(("*-"),(G36))))</formula>
    </cfRule>
  </conditionalFormatting>
  <conditionalFormatting sqref="G3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:G38">
    <cfRule type="containsText" dxfId="0" priority="1" operator="containsText" text="*-">
      <formula>NOT(ISERROR(SEARCH(("*-"),(G37))))</formula>
    </cfRule>
  </conditionalFormatting>
  <conditionalFormatting sqref="G37:G3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3" t="s">
        <v>5</v>
      </c>
      <c r="B1" s="14" t="s">
        <v>9</v>
      </c>
      <c r="C1" s="15" t="s">
        <v>10</v>
      </c>
    </row>
    <row r="2" spans="1:3" ht="15" customHeight="1" x14ac:dyDescent="0.35">
      <c r="A2" s="10">
        <v>1</v>
      </c>
      <c r="B2" s="11" t="s">
        <v>6</v>
      </c>
      <c r="C2" s="12" t="s">
        <v>11</v>
      </c>
    </row>
    <row r="3" spans="1:3" ht="15" customHeight="1" x14ac:dyDescent="0.35">
      <c r="A3" s="10">
        <v>2</v>
      </c>
      <c r="B3" s="11" t="s">
        <v>7</v>
      </c>
      <c r="C3" s="12" t="s">
        <v>13</v>
      </c>
    </row>
    <row r="4" spans="1:3" ht="15" customHeight="1" x14ac:dyDescent="0.35">
      <c r="A4" s="10">
        <v>3</v>
      </c>
      <c r="B4" s="11" t="s">
        <v>8</v>
      </c>
      <c r="C4" s="12" t="s">
        <v>14</v>
      </c>
    </row>
    <row r="5" spans="1:3" ht="15" customHeight="1" x14ac:dyDescent="0.35">
      <c r="A5" s="10">
        <v>4</v>
      </c>
      <c r="B5" s="11" t="s">
        <v>12</v>
      </c>
      <c r="C5" s="12" t="s">
        <v>15</v>
      </c>
    </row>
    <row r="6" spans="1:3" ht="15" customHeight="1" x14ac:dyDescent="0.35">
      <c r="A6" s="10">
        <v>5</v>
      </c>
      <c r="B6" s="11" t="s">
        <v>18</v>
      </c>
      <c r="C6" s="16" t="s">
        <v>19</v>
      </c>
    </row>
    <row r="7" spans="1:3" ht="15" customHeight="1" x14ac:dyDescent="0.35">
      <c r="A7" s="10">
        <v>6</v>
      </c>
      <c r="B7" s="11" t="s">
        <v>18</v>
      </c>
      <c r="C7" s="16" t="s">
        <v>20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2026-02-13T09:58:26Z</dcterms:modified>
</cp:coreProperties>
</file>