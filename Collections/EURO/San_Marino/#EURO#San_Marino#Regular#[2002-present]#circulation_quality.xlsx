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ord_Alexator\Documents\CoinCollection\Collections\EURO\San_Marino\"/>
    </mc:Choice>
  </mc:AlternateContent>
  <xr:revisionPtr revIDLastSave="0" documentId="13_ncr:1_{34D27683-DD96-40CF-99D3-4F2A8704BEFC}" xr6:coauthVersionLast="47" xr6:coauthVersionMax="47" xr10:uidLastSave="{00000000-0000-0000-0000-000000000000}"/>
  <bookViews>
    <workbookView xWindow="-110" yWindow="-110" windowWidth="38620" windowHeight="21220" activeTab="5" xr2:uid="{00000000-000D-0000-FFFF-FFFF00000000}"/>
  </bookViews>
  <sheets>
    <sheet name="1cent" sheetId="4" r:id="rId1"/>
    <sheet name="2cents" sheetId="5" r:id="rId2"/>
    <sheet name="5cents" sheetId="7" r:id="rId3"/>
    <sheet name="10cents" sheetId="8" r:id="rId4"/>
    <sheet name="20cents" sheetId="9" r:id="rId5"/>
    <sheet name="50cents" sheetId="10" r:id="rId6"/>
    <sheet name="1€" sheetId="11" r:id="rId7"/>
    <sheet name="2€" sheetId="12" r:id="rId8"/>
    <sheet name="Links" sheetId="6" r:id="rId9"/>
  </sheets>
  <definedNames>
    <definedName name="_xlnm._FilterDatabase" localSheetId="6" hidden="1">'1€'!$B$2:$E$2</definedName>
    <definedName name="_xlnm._FilterDatabase" localSheetId="3" hidden="1">'10cents'!$B$2:$E$2</definedName>
    <definedName name="_xlnm._FilterDatabase" localSheetId="0" hidden="1">'1cent'!$B$2:$E$2</definedName>
    <definedName name="_xlnm._FilterDatabase" localSheetId="7" hidden="1">'2€'!$B$2:$E$2</definedName>
    <definedName name="_xlnm._FilterDatabase" localSheetId="4" hidden="1">'20cents'!$B$2:$E$2</definedName>
    <definedName name="_xlnm._FilterDatabase" localSheetId="1" hidden="1">'2cents'!$B$2:$E$2</definedName>
    <definedName name="_xlnm._FilterDatabase" localSheetId="5" hidden="1">'50cents'!$B$2:$E$2</definedName>
    <definedName name="_xlnm._FilterDatabase" localSheetId="2" hidden="1">'5cents'!$B$2:$E$2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6" i="12" l="1"/>
  <c r="G26" i="10"/>
  <c r="G26" i="9"/>
  <c r="G25" i="8"/>
  <c r="G26" i="8"/>
  <c r="G25" i="7"/>
  <c r="G26" i="7"/>
  <c r="G25" i="5"/>
  <c r="G26" i="5"/>
  <c r="G25" i="4"/>
  <c r="G26" i="4"/>
  <c r="G25" i="12"/>
  <c r="G25" i="10"/>
  <c r="G25" i="9"/>
  <c r="G22" i="4"/>
  <c r="G23" i="4"/>
  <c r="G24" i="4"/>
  <c r="G22" i="5"/>
  <c r="G23" i="5"/>
  <c r="G24" i="5"/>
  <c r="G22" i="7"/>
  <c r="G23" i="7"/>
  <c r="G24" i="7"/>
  <c r="G22" i="8"/>
  <c r="G23" i="8"/>
  <c r="G24" i="8"/>
  <c r="G22" i="9"/>
  <c r="G23" i="9"/>
  <c r="G24" i="9"/>
  <c r="G22" i="10"/>
  <c r="G23" i="10"/>
  <c r="G24" i="10"/>
  <c r="G22" i="11"/>
  <c r="G23" i="11"/>
  <c r="G24" i="11"/>
  <c r="G22" i="12"/>
  <c r="G23" i="12"/>
  <c r="G24" i="12"/>
  <c r="G21" i="12"/>
  <c r="G21" i="11"/>
  <c r="G21" i="10"/>
  <c r="G21" i="9"/>
  <c r="G21" i="8"/>
  <c r="G21" i="7"/>
  <c r="G21" i="5"/>
  <c r="G21" i="4"/>
  <c r="G5" i="8"/>
  <c r="G7" i="8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6" i="8"/>
  <c r="G4" i="8"/>
  <c r="G3" i="8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0" i="12" l="1"/>
  <c r="G19" i="12"/>
  <c r="G18" i="12"/>
  <c r="G17" i="12"/>
  <c r="G16" i="12"/>
  <c r="G15" i="12"/>
  <c r="G14" i="12"/>
  <c r="G13" i="12"/>
  <c r="G12" i="12"/>
  <c r="G11" i="12"/>
  <c r="G10" i="12"/>
  <c r="G9" i="12"/>
  <c r="G8" i="12"/>
  <c r="G7" i="12"/>
  <c r="G6" i="12"/>
  <c r="G5" i="12"/>
  <c r="G4" i="12"/>
  <c r="G3" i="12"/>
  <c r="G20" i="11"/>
  <c r="G19" i="11"/>
  <c r="G18" i="11"/>
  <c r="G17" i="11"/>
  <c r="G16" i="11"/>
  <c r="G15" i="11"/>
  <c r="G14" i="11"/>
  <c r="G13" i="11"/>
  <c r="G12" i="11"/>
  <c r="G11" i="11"/>
  <c r="G10" i="11"/>
  <c r="G9" i="11"/>
  <c r="G8" i="11"/>
  <c r="G7" i="11"/>
  <c r="G6" i="11"/>
  <c r="G5" i="11"/>
  <c r="G4" i="11"/>
  <c r="G3" i="11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0" i="4" l="1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Istituto Poligrafico e Zecca dello Stato
(Rome mint)</t>
        </r>
      </text>
    </comment>
    <comment ref="F2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Istituto Poligrafico e Zecca dello Stato
(Rome mint)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204"/>
          </rPr>
          <t>Istituto Poligrafico e Zecca dello Stato
(Rome mint)</t>
        </r>
      </text>
    </comment>
    <comment ref="F2" authorId="0" shapeId="0" xr:uid="{00000000-0006-0000-0100-000002000000}">
      <text>
        <r>
          <rPr>
            <b/>
            <sz val="9"/>
            <color indexed="81"/>
            <rFont val="Tahoma"/>
            <family val="2"/>
            <charset val="204"/>
          </rPr>
          <t>Istituto Poligrafico e Zecca dello Stato
(Rome mint)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200-000001000000}">
      <text>
        <r>
          <rPr>
            <b/>
            <sz val="9"/>
            <color indexed="81"/>
            <rFont val="Tahoma"/>
            <family val="2"/>
            <charset val="204"/>
          </rPr>
          <t>Istituto Poligrafico e Zecca dello Stato
(Rome mint)</t>
        </r>
      </text>
    </comment>
    <comment ref="F2" authorId="0" shapeId="0" xr:uid="{00000000-0006-0000-0200-000002000000}">
      <text>
        <r>
          <rPr>
            <b/>
            <sz val="9"/>
            <color indexed="81"/>
            <rFont val="Tahoma"/>
            <family val="2"/>
            <charset val="204"/>
          </rPr>
          <t>Istituto Poligrafico e Zecca dello Stato
(Rome mint)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300-000001000000}">
      <text>
        <r>
          <rPr>
            <b/>
            <sz val="9"/>
            <color indexed="81"/>
            <rFont val="Tahoma"/>
            <family val="2"/>
            <charset val="204"/>
          </rPr>
          <t>Istituto Poligrafico e Zecca dello Stato
(Rome mint)</t>
        </r>
      </text>
    </comment>
    <comment ref="F2" authorId="0" shapeId="0" xr:uid="{00000000-0006-0000-0300-000002000000}">
      <text>
        <r>
          <rPr>
            <b/>
            <sz val="9"/>
            <color indexed="81"/>
            <rFont val="Tahoma"/>
            <family val="2"/>
            <charset val="204"/>
          </rPr>
          <t>Istituto Poligrafico e Zecca dello Stato
(Rome mint)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400-000001000000}">
      <text>
        <r>
          <rPr>
            <b/>
            <sz val="9"/>
            <color indexed="81"/>
            <rFont val="Tahoma"/>
            <family val="2"/>
            <charset val="204"/>
          </rPr>
          <t>Istituto Poligrafico e Zecca dello Stato
(Rome mint)</t>
        </r>
      </text>
    </comment>
    <comment ref="F2" authorId="0" shapeId="0" xr:uid="{00000000-0006-0000-0400-000002000000}">
      <text>
        <r>
          <rPr>
            <b/>
            <sz val="9"/>
            <color indexed="81"/>
            <rFont val="Tahoma"/>
            <family val="2"/>
            <charset val="204"/>
          </rPr>
          <t>Istituto Poligrafico e Zecca dello Stato
(Rome mint)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500-000001000000}">
      <text>
        <r>
          <rPr>
            <b/>
            <sz val="9"/>
            <color indexed="81"/>
            <rFont val="Tahoma"/>
            <family val="2"/>
            <charset val="204"/>
          </rPr>
          <t>Istituto Poligrafico e Zecca dello Stato
(Rome mint)</t>
        </r>
      </text>
    </comment>
    <comment ref="F2" authorId="0" shapeId="0" xr:uid="{00000000-0006-0000-0500-000002000000}">
      <text>
        <r>
          <rPr>
            <b/>
            <sz val="9"/>
            <color indexed="81"/>
            <rFont val="Tahoma"/>
            <family val="2"/>
            <charset val="204"/>
          </rPr>
          <t>Istituto Poligrafico e Zecca dello Stato
(Rome mint)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600-000001000000}">
      <text>
        <r>
          <rPr>
            <b/>
            <sz val="9"/>
            <color indexed="81"/>
            <rFont val="Tahoma"/>
            <family val="2"/>
            <charset val="204"/>
          </rPr>
          <t>Istituto Poligrafico e Zecca dello Stato
(Rome mint)</t>
        </r>
      </text>
    </comment>
    <comment ref="F2" authorId="0" shapeId="0" xr:uid="{00000000-0006-0000-0600-000002000000}">
      <text>
        <r>
          <rPr>
            <b/>
            <sz val="9"/>
            <color indexed="81"/>
            <rFont val="Tahoma"/>
            <family val="2"/>
            <charset val="204"/>
          </rPr>
          <t>Istituto Poligrafico e Zecca dello Stato
(Rome mint)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700-000001000000}">
      <text>
        <r>
          <rPr>
            <b/>
            <sz val="9"/>
            <color indexed="81"/>
            <rFont val="Tahoma"/>
            <family val="2"/>
            <charset val="204"/>
          </rPr>
          <t>Istituto Poligrafico e Zecca dello Stato
(Rome mint)</t>
        </r>
      </text>
    </comment>
    <comment ref="F2" authorId="0" shapeId="0" xr:uid="{00000000-0006-0000-0700-000002000000}">
      <text>
        <r>
          <rPr>
            <b/>
            <sz val="9"/>
            <color indexed="81"/>
            <rFont val="Tahoma"/>
            <family val="2"/>
            <charset val="204"/>
          </rPr>
          <t>Istituto Poligrafico e Zecca dello Stato
(Rome mint)</t>
        </r>
      </text>
    </comment>
  </commentList>
</comments>
</file>

<file path=xl/sharedStrings.xml><?xml version="1.0" encoding="utf-8"?>
<sst xmlns="http://schemas.openxmlformats.org/spreadsheetml/2006/main" count="905" uniqueCount="134">
  <si>
    <t>-</t>
  </si>
  <si>
    <t>Year</t>
  </si>
  <si>
    <t>Type</t>
  </si>
  <si>
    <t>Mintage</t>
  </si>
  <si>
    <t>1cent</t>
  </si>
  <si>
    <t>2cents</t>
  </si>
  <si>
    <t>5cents</t>
  </si>
  <si>
    <t>10cents</t>
  </si>
  <si>
    <t>Rev: old map of Europe</t>
  </si>
  <si>
    <t>Rev: new map of Europe</t>
  </si>
  <si>
    <t>20cents</t>
  </si>
  <si>
    <t>50cents</t>
  </si>
  <si>
    <t>1€</t>
  </si>
  <si>
    <t>2€</t>
  </si>
  <si>
    <t>№</t>
  </si>
  <si>
    <t>Link</t>
  </si>
  <si>
    <t>Description (single table, table set, mintage, prices):</t>
  </si>
  <si>
    <t>en.ucoin.net</t>
  </si>
  <si>
    <t>Middle convenience set of table with mintages and varieties</t>
  </si>
  <si>
    <t>Middle convenience single table with mintages</t>
  </si>
  <si>
    <t>euro-coins</t>
  </si>
  <si>
    <t>euro-coins.info</t>
  </si>
  <si>
    <t>Low convenience table of varities</t>
  </si>
  <si>
    <t>img-fotki.yandex</t>
  </si>
  <si>
    <t>Photo of coins</t>
  </si>
  <si>
    <t>eurocollection</t>
  </si>
  <si>
    <t>High convenience single table of varieties with photos</t>
  </si>
  <si>
    <t>High convenience set of tables table of actual coins with photos</t>
  </si>
  <si>
    <t>IT</t>
  </si>
  <si>
    <t>115.000</t>
  </si>
  <si>
    <t>70.000</t>
  </si>
  <si>
    <t>1.570.000</t>
  </si>
  <si>
    <t>2.800.000</t>
  </si>
  <si>
    <t>63.000</t>
  </si>
  <si>
    <t>56.600</t>
  </si>
  <si>
    <t>55.500</t>
  </si>
  <si>
    <t>85.000</t>
  </si>
  <si>
    <t>50.000</t>
  </si>
  <si>
    <t>39.000</t>
  </si>
  <si>
    <t>34.400</t>
  </si>
  <si>
    <t>30.400</t>
  </si>
  <si>
    <t>38.600</t>
  </si>
  <si>
    <t>37.600</t>
  </si>
  <si>
    <t>23.150</t>
  </si>
  <si>
    <t>1.465.000</t>
  </si>
  <si>
    <t>210.000</t>
  </si>
  <si>
    <t>27.600</t>
  </si>
  <si>
    <t>1.070.000</t>
  </si>
  <si>
    <t>2.950.000</t>
  </si>
  <si>
    <t>250.000</t>
  </si>
  <si>
    <t>220.000</t>
  </si>
  <si>
    <t>186.600</t>
  </si>
  <si>
    <t>90.000</t>
  </si>
  <si>
    <t>302.400</t>
  </si>
  <si>
    <t>430.000</t>
  </si>
  <si>
    <t>370.000</t>
  </si>
  <si>
    <t>1.231.360</t>
  </si>
  <si>
    <t>170.000</t>
  </si>
  <si>
    <t>84.400</t>
  </si>
  <si>
    <t>230.400</t>
  </si>
  <si>
    <t>1.366.615</t>
  </si>
  <si>
    <t>627.600</t>
  </si>
  <si>
    <t>415.800</t>
  </si>
  <si>
    <t>249.712</t>
  </si>
  <si>
    <t>413.880</t>
  </si>
  <si>
    <t>390.000</t>
  </si>
  <si>
    <t>1.413.000</t>
  </si>
  <si>
    <t>125.000</t>
  </si>
  <si>
    <t>182.000</t>
  </si>
  <si>
    <t>762.275</t>
  </si>
  <si>
    <t>784.401</t>
  </si>
  <si>
    <t>1.127.600</t>
  </si>
  <si>
    <t>823.150</t>
  </si>
  <si>
    <t>380.800</t>
  </si>
  <si>
    <t>1.159.672</t>
  </si>
  <si>
    <t>1.052.734</t>
  </si>
  <si>
    <t>95.000</t>
  </si>
  <si>
    <t>506.205</t>
  </si>
  <si>
    <t>1.556.500</t>
  </si>
  <si>
    <t>1.710.000</t>
  </si>
  <si>
    <t>538.600</t>
  </si>
  <si>
    <t>538.150</t>
  </si>
  <si>
    <t>255.760</t>
  </si>
  <si>
    <t>190.000</t>
  </si>
  <si>
    <t>717.431</t>
  </si>
  <si>
    <t>712.249</t>
  </si>
  <si>
    <t>642.624</t>
  </si>
  <si>
    <t>904.467</t>
  </si>
  <si>
    <t>638.600</t>
  </si>
  <si>
    <t>398.150</t>
  </si>
  <si>
    <t>Obv: With mint symbol - "R"</t>
  </si>
  <si>
    <t>Obv: Third tower (Il Montale)</t>
  </si>
  <si>
    <t>Obv: Coat of arms of San Marino</t>
  </si>
  <si>
    <t>Obv: Statue of Liberty</t>
  </si>
  <si>
    <t>Obv: San Marino's city gate</t>
  </si>
  <si>
    <t>Obv: First tower (La Guaita)</t>
  </si>
  <si>
    <t>Obv: Church of Saint Quirinus</t>
  </si>
  <si>
    <t>Obv: Basilica of St. Marinus</t>
  </si>
  <si>
    <t>Obv: Church of Saint Francis</t>
  </si>
  <si>
    <t>Obv: Saint Marinus</t>
  </si>
  <si>
    <t>Obv: Mount Titano and the three towers</t>
  </si>
  <si>
    <t>Obv: The Three Towers of San Marino</t>
  </si>
  <si>
    <t>Obv: Portrait of San Marino</t>
  </si>
  <si>
    <t>Obv: Second tower (La Cesta)</t>
  </si>
  <si>
    <t>Obv: Government Building</t>
  </si>
  <si>
    <t>23.500</t>
  </si>
  <si>
    <t>623.500</t>
  </si>
  <si>
    <t>523.500</t>
  </si>
  <si>
    <t>644.757</t>
  </si>
  <si>
    <t>23.400</t>
  </si>
  <si>
    <t>423.400</t>
  </si>
  <si>
    <t>808.755</t>
  </si>
  <si>
    <t>22.300</t>
  </si>
  <si>
    <t>822.300</t>
  </si>
  <si>
    <t>772.300</t>
  </si>
  <si>
    <t>452.282</t>
  </si>
  <si>
    <t>21.600</t>
  </si>
  <si>
    <t>500.280</t>
  </si>
  <si>
    <t>601.600</t>
  </si>
  <si>
    <t>741.600</t>
  </si>
  <si>
    <t>685.773</t>
  </si>
  <si>
    <t>Subject</t>
  </si>
  <si>
    <t>Subtype_1#Special_marks_1</t>
  </si>
  <si>
    <t>Subtype_2#Special_distinctions_1</t>
  </si>
  <si>
    <t>Subtype_2#Map_of_Europe</t>
  </si>
  <si>
    <t>21.000</t>
  </si>
  <si>
    <t>18.000</t>
  </si>
  <si>
    <t>821.000</t>
  </si>
  <si>
    <t>650.426</t>
  </si>
  <si>
    <t>701.000</t>
  </si>
  <si>
    <t>621.000</t>
  </si>
  <si>
    <t>801.000</t>
  </si>
  <si>
    <t>836.000</t>
  </si>
  <si>
    <t>636.000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</si>
</sst>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[$€-1];[Red]\-#,##0\ [$€-1]"/>
  </numFmts>
  <fonts count="9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  <font>
      <b/>
      <sz val="9"/>
      <color indexed="81"/>
      <name val="Tahoma"/>
      <family val="2"/>
      <charset val="204"/>
    </font>
    <font>
      <sz val="11"/>
      <name val="Calibri"/>
      <family val="2"/>
      <charset val="204"/>
      <scheme val="minor"/>
    </font>
    <font>
      <sz val="11"/>
      <color rgb="FFC00000"/>
      <name val="Calibri"/>
      <family val="2"/>
      <charset val="204"/>
    </font>
    <font>
      <u/>
      <sz val="11"/>
      <color theme="10"/>
      <name val="Calibri"/>
      <family val="2"/>
      <charset val="204"/>
    </font>
    <font>
      <sz val="11"/>
      <name val="Calibri"/>
      <family val="2"/>
      <charset val="204"/>
    </font>
    <font>
      <sz val="11"/>
      <color rgb="FFFF0000"/>
      <name val="Calibri"/>
      <family val="2"/>
      <charset val="204"/>
      <scheme val="minor"/>
    </font>
    <font>
      <sz val="8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6C3A0"/>
        <bgColor indexed="64"/>
      </patternFill>
    </fill>
    <fill>
      <patternFill patternType="solid">
        <fgColor rgb="FFFAD9C2"/>
        <bgColor indexed="64"/>
      </patternFill>
    </fill>
    <fill>
      <patternFill patternType="solid">
        <fgColor rgb="FFF1955D"/>
        <bgColor rgb="FF000000"/>
      </patternFill>
    </fill>
    <fill>
      <patternFill patternType="solid">
        <fgColor rgb="FFF3B285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5" fillId="0" borderId="0" applyNumberFormat="0" applyFill="0" applyBorder="0" applyAlignment="0" applyProtection="0"/>
  </cellStyleXfs>
  <cellXfs count="35">
    <xf numFmtId="0" fontId="0" fillId="0" borderId="0" xfId="0"/>
    <xf numFmtId="0" fontId="0" fillId="0" borderId="1" xfId="0" applyBorder="1" applyAlignment="1">
      <alignment horizontal="center"/>
    </xf>
    <xf numFmtId="0" fontId="1" fillId="0" borderId="0" xfId="1"/>
    <xf numFmtId="0" fontId="4" fillId="0" borderId="0" xfId="1" applyFont="1" applyAlignment="1">
      <alignment horizontal="center" vertical="center"/>
    </xf>
    <xf numFmtId="0" fontId="0" fillId="0" borderId="0" xfId="0" applyFont="1" applyAlignment="1"/>
    <xf numFmtId="0" fontId="1" fillId="0" borderId="0" xfId="0" applyFont="1"/>
    <xf numFmtId="3" fontId="3" fillId="3" borderId="2" xfId="0" applyNumberFormat="1" applyFont="1" applyFill="1" applyBorder="1" applyAlignment="1">
      <alignment horizontal="center" vertical="center"/>
    </xf>
    <xf numFmtId="3" fontId="3" fillId="4" borderId="2" xfId="0" applyNumberFormat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/>
    </xf>
    <xf numFmtId="3" fontId="3" fillId="6" borderId="2" xfId="0" applyNumberFormat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3" fontId="3" fillId="6" borderId="2" xfId="0" applyNumberFormat="1" applyFont="1" applyFill="1" applyBorder="1" applyAlignment="1">
      <alignment horizontal="center" vertical="center" shrinkToFit="1"/>
    </xf>
    <xf numFmtId="3" fontId="3" fillId="3" borderId="2" xfId="0" applyNumberFormat="1" applyFont="1" applyFill="1" applyBorder="1" applyAlignment="1">
      <alignment horizontal="center" vertical="center" shrinkToFit="1"/>
    </xf>
    <xf numFmtId="3" fontId="3" fillId="4" borderId="2" xfId="0" applyNumberFormat="1" applyFont="1" applyFill="1" applyBorder="1" applyAlignment="1">
      <alignment horizontal="center" vertical="center" shrinkToFit="1"/>
    </xf>
    <xf numFmtId="49" fontId="1" fillId="0" borderId="0" xfId="0" applyNumberFormat="1" applyFont="1"/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/>
    <xf numFmtId="0" fontId="0" fillId="0" borderId="0" xfId="0" applyAlignment="1">
      <alignment horizontal="center" vertical="center"/>
    </xf>
    <xf numFmtId="0" fontId="5" fillId="0" borderId="0" xfId="2" applyAlignment="1">
      <alignment horizontal="center" vertical="center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49" fontId="6" fillId="5" borderId="2" xfId="0" applyNumberFormat="1" applyFont="1" applyFill="1" applyBorder="1" applyAlignment="1">
      <alignment horizontal="center" vertical="center" shrinkToFit="1"/>
    </xf>
    <xf numFmtId="0" fontId="6" fillId="5" borderId="2" xfId="0" applyFont="1" applyFill="1" applyBorder="1" applyAlignment="1">
      <alignment horizontal="center" vertical="center" shrinkToFit="1"/>
    </xf>
    <xf numFmtId="3" fontId="7" fillId="2" borderId="2" xfId="0" applyNumberFormat="1" applyFont="1" applyFill="1" applyBorder="1" applyAlignment="1">
      <alignment horizontal="center" vertical="center" shrinkToFit="1"/>
    </xf>
    <xf numFmtId="3" fontId="3" fillId="3" borderId="7" xfId="0" applyNumberFormat="1" applyFont="1" applyFill="1" applyBorder="1" applyAlignment="1">
      <alignment horizontal="center" vertical="center" shrinkToFit="1"/>
    </xf>
    <xf numFmtId="164" fontId="0" fillId="0" borderId="0" xfId="0" applyNumberFormat="1"/>
    <xf numFmtId="0" fontId="6" fillId="5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</cellXfs>
  <cellStyles count="3">
    <cellStyle name="Гиперссылка" xfId="2" builtinId="8"/>
    <cellStyle name="Обычный" xfId="0" builtinId="0"/>
    <cellStyle name="Обычный 2" xfId="1" xr:uid="{00000000-0005-0000-0000-000002000000}"/>
  </cellStyles>
  <dxfs count="29">
    <dxf>
      <alignment horizontal="general" vertical="bottom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</dxfs>
  <tableStyles count="0" defaultTableStyle="TableStyleMedium2" defaultPivotStyle="PivotStyleLight16"/>
  <colors>
    <mruColors>
      <color rgb="FFF3B285"/>
      <color rgb="FFF1955D"/>
      <color rgb="FFF9D3B9"/>
      <color rgb="FFFAD9C2"/>
      <color rgb="FFF6C3A0"/>
      <color rgb="FFF5B8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Таблица4" displayName="Таблица4" ref="A1:C7" totalsRowShown="0">
  <autoFilter ref="A1:C7" xr:uid="{00000000-0009-0000-0100-000002000000}">
    <filterColumn colId="0" hiddenButton="1"/>
    <filterColumn colId="1" hiddenButton="1"/>
    <filterColumn colId="2" hiddenButton="1"/>
  </autoFilter>
  <tableColumns count="3">
    <tableColumn id="1" xr3:uid="{00000000-0010-0000-0000-000001000000}" name="№" dataDxfId="2"/>
    <tableColumn id="2" xr3:uid="{00000000-0010-0000-0000-000002000000}" name="Link" dataDxfId="1" dataCellStyle="Гиперссылка"/>
    <tableColumn id="3" xr3:uid="{00000000-0010-0000-0000-000003000000}" name="Description (single table, table set, mintage, prices):" dataDxfId="0"/>
  </tableColumns>
  <tableStyleInfo name="TableStyleMedium9" showFirstColumn="1" showLastColumn="0" showRowStripes="0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uro-coins.info/info/mintage/san-marino.html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www.euro-coins.info/info/mintage/austria.html" TargetMode="External"/><Relationship Id="rId1" Type="http://schemas.openxmlformats.org/officeDocument/2006/relationships/hyperlink" Target="https://en.ucoin.net/catalog/?country=san_marino" TargetMode="External"/><Relationship Id="rId6" Type="http://schemas.openxmlformats.org/officeDocument/2006/relationships/hyperlink" Target="http://www.eurocollection.co.uk/Variants.html" TargetMode="External"/><Relationship Id="rId5" Type="http://schemas.openxmlformats.org/officeDocument/2006/relationships/hyperlink" Target="http://www.eurocollection.co.uk/" TargetMode="External"/><Relationship Id="rId4" Type="http://schemas.openxmlformats.org/officeDocument/2006/relationships/hyperlink" Target="https://img-fotki.yandex.ru/get/6522/3621775.137/0_8f474_244963fb_ori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F7" sqref="F7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4" width="33.6328125" style="4" customWidth="1"/>
    <col min="5" max="5" width="12.6328125" style="4" customWidth="1"/>
    <col min="6" max="6" width="3.6328125" style="4" customWidth="1"/>
    <col min="7" max="7" width="12.6328125" style="4" customWidth="1"/>
  </cols>
  <sheetData>
    <row r="1" spans="1:9" ht="15" customHeight="1" x14ac:dyDescent="0.35">
      <c r="A1" s="28" t="s">
        <v>1</v>
      </c>
      <c r="B1" s="27"/>
      <c r="C1" s="30" t="s">
        <v>2</v>
      </c>
      <c r="D1" s="31"/>
      <c r="E1" s="8" t="s">
        <v>3</v>
      </c>
      <c r="F1" s="23" t="s">
        <v>4</v>
      </c>
      <c r="G1" s="2"/>
    </row>
    <row r="2" spans="1:9" ht="15" customHeight="1" x14ac:dyDescent="0.35">
      <c r="A2" s="29"/>
      <c r="B2" s="27" t="s">
        <v>121</v>
      </c>
      <c r="C2" s="7" t="s">
        <v>122</v>
      </c>
      <c r="D2" s="7" t="s">
        <v>123</v>
      </c>
      <c r="E2" s="9" t="s">
        <v>28</v>
      </c>
      <c r="F2" s="7" t="s">
        <v>28</v>
      </c>
      <c r="G2" s="2"/>
    </row>
    <row r="3" spans="1:9" ht="15" customHeight="1" x14ac:dyDescent="0.35">
      <c r="A3" s="10">
        <v>2002</v>
      </c>
      <c r="B3" s="11" t="s">
        <v>91</v>
      </c>
      <c r="C3" s="25" t="s">
        <v>90</v>
      </c>
      <c r="D3" s="12"/>
      <c r="E3" s="24" t="s">
        <v>29</v>
      </c>
      <c r="F3" s="1" t="s">
        <v>0</v>
      </c>
      <c r="G3" s="3" t="str">
        <f t="shared" ref="G3:G20" si="0">IF(OR(AND(F3&gt;1,F3&lt;&gt;"-")),"Can exchange","")</f>
        <v/>
      </c>
      <c r="I3" s="5"/>
    </row>
    <row r="4" spans="1:9" ht="15" customHeight="1" x14ac:dyDescent="0.35">
      <c r="A4" s="10">
        <v>2003</v>
      </c>
      <c r="B4" s="11" t="s">
        <v>91</v>
      </c>
      <c r="C4" s="25" t="s">
        <v>90</v>
      </c>
      <c r="D4" s="12"/>
      <c r="E4" s="24" t="s">
        <v>30</v>
      </c>
      <c r="F4" s="1" t="s">
        <v>0</v>
      </c>
      <c r="G4" s="3" t="str">
        <f t="shared" si="0"/>
        <v/>
      </c>
      <c r="I4" s="5"/>
    </row>
    <row r="5" spans="1:9" ht="15" customHeight="1" x14ac:dyDescent="0.35">
      <c r="A5" s="10">
        <v>2004</v>
      </c>
      <c r="B5" s="11" t="s">
        <v>91</v>
      </c>
      <c r="C5" s="25" t="s">
        <v>90</v>
      </c>
      <c r="D5" s="12"/>
      <c r="E5" s="13" t="s">
        <v>31</v>
      </c>
      <c r="F5" s="1">
        <v>1</v>
      </c>
      <c r="G5" s="3" t="str">
        <f t="shared" si="0"/>
        <v/>
      </c>
    </row>
    <row r="6" spans="1:9" ht="15" customHeight="1" x14ac:dyDescent="0.35">
      <c r="A6" s="10">
        <v>2005</v>
      </c>
      <c r="B6" s="11" t="s">
        <v>91</v>
      </c>
      <c r="C6" s="25" t="s">
        <v>90</v>
      </c>
      <c r="D6" s="12"/>
      <c r="E6" s="24" t="s">
        <v>30</v>
      </c>
      <c r="F6" s="1" t="s">
        <v>0</v>
      </c>
      <c r="G6" s="3" t="str">
        <f t="shared" si="0"/>
        <v/>
      </c>
    </row>
    <row r="7" spans="1:9" ht="15" customHeight="1" x14ac:dyDescent="0.35">
      <c r="A7" s="10">
        <v>2006</v>
      </c>
      <c r="B7" s="11" t="s">
        <v>91</v>
      </c>
      <c r="C7" s="25" t="s">
        <v>90</v>
      </c>
      <c r="D7" s="12"/>
      <c r="E7" s="13" t="s">
        <v>32</v>
      </c>
      <c r="F7" s="1">
        <v>1</v>
      </c>
      <c r="G7" s="3" t="str">
        <f t="shared" si="0"/>
        <v/>
      </c>
    </row>
    <row r="8" spans="1:9" ht="15" customHeight="1" x14ac:dyDescent="0.35">
      <c r="A8" s="10">
        <v>2007</v>
      </c>
      <c r="B8" s="11" t="s">
        <v>91</v>
      </c>
      <c r="C8" s="25" t="s">
        <v>90</v>
      </c>
      <c r="D8" s="12"/>
      <c r="E8" s="24" t="s">
        <v>30</v>
      </c>
      <c r="F8" s="1" t="s">
        <v>0</v>
      </c>
      <c r="G8" s="3" t="str">
        <f t="shared" si="0"/>
        <v/>
      </c>
    </row>
    <row r="9" spans="1:9" ht="15" customHeight="1" x14ac:dyDescent="0.35">
      <c r="A9" s="10">
        <v>2008</v>
      </c>
      <c r="B9" s="11" t="s">
        <v>91</v>
      </c>
      <c r="C9" s="25" t="s">
        <v>90</v>
      </c>
      <c r="D9" s="12"/>
      <c r="E9" s="24" t="s">
        <v>33</v>
      </c>
      <c r="F9" s="1" t="s">
        <v>0</v>
      </c>
      <c r="G9" s="3" t="str">
        <f t="shared" si="0"/>
        <v/>
      </c>
    </row>
    <row r="10" spans="1:9" ht="15" customHeight="1" x14ac:dyDescent="0.35">
      <c r="A10" s="10">
        <v>2009</v>
      </c>
      <c r="B10" s="11" t="s">
        <v>91</v>
      </c>
      <c r="C10" s="25" t="s">
        <v>90</v>
      </c>
      <c r="D10" s="12"/>
      <c r="E10" s="24" t="s">
        <v>33</v>
      </c>
      <c r="F10" s="1" t="s">
        <v>0</v>
      </c>
      <c r="G10" s="3" t="str">
        <f t="shared" si="0"/>
        <v/>
      </c>
    </row>
    <row r="11" spans="1:9" ht="15" customHeight="1" x14ac:dyDescent="0.35">
      <c r="A11" s="10">
        <v>2010</v>
      </c>
      <c r="B11" s="11" t="s">
        <v>91</v>
      </c>
      <c r="C11" s="25" t="s">
        <v>90</v>
      </c>
      <c r="D11" s="12"/>
      <c r="E11" s="24" t="s">
        <v>34</v>
      </c>
      <c r="F11" s="1" t="s">
        <v>0</v>
      </c>
      <c r="G11" s="3" t="str">
        <f t="shared" si="0"/>
        <v/>
      </c>
    </row>
    <row r="12" spans="1:9" ht="15" customHeight="1" x14ac:dyDescent="0.35">
      <c r="A12" s="10">
        <v>2011</v>
      </c>
      <c r="B12" s="11" t="s">
        <v>91</v>
      </c>
      <c r="C12" s="25" t="s">
        <v>90</v>
      </c>
      <c r="D12" s="12"/>
      <c r="E12" s="24" t="s">
        <v>35</v>
      </c>
      <c r="F12" s="1" t="s">
        <v>0</v>
      </c>
      <c r="G12" s="3" t="str">
        <f t="shared" si="0"/>
        <v/>
      </c>
    </row>
    <row r="13" spans="1:9" ht="15" customHeight="1" x14ac:dyDescent="0.35">
      <c r="A13" s="10">
        <v>2012</v>
      </c>
      <c r="B13" s="11" t="s">
        <v>91</v>
      </c>
      <c r="C13" s="25" t="s">
        <v>90</v>
      </c>
      <c r="D13" s="12"/>
      <c r="E13" s="24" t="s">
        <v>36</v>
      </c>
      <c r="F13" s="1" t="s">
        <v>0</v>
      </c>
      <c r="G13" s="3" t="str">
        <f t="shared" si="0"/>
        <v/>
      </c>
    </row>
    <row r="14" spans="1:9" ht="15" customHeight="1" x14ac:dyDescent="0.35">
      <c r="A14" s="10">
        <v>2013</v>
      </c>
      <c r="B14" s="11" t="s">
        <v>91</v>
      </c>
      <c r="C14" s="25" t="s">
        <v>90</v>
      </c>
      <c r="D14" s="12"/>
      <c r="E14" s="24" t="s">
        <v>37</v>
      </c>
      <c r="F14" s="1" t="s">
        <v>0</v>
      </c>
      <c r="G14" s="3" t="str">
        <f t="shared" si="0"/>
        <v/>
      </c>
    </row>
    <row r="15" spans="1:9" ht="15" customHeight="1" x14ac:dyDescent="0.35">
      <c r="A15" s="10">
        <v>2014</v>
      </c>
      <c r="B15" s="11" t="s">
        <v>91</v>
      </c>
      <c r="C15" s="25" t="s">
        <v>90</v>
      </c>
      <c r="D15" s="12"/>
      <c r="E15" s="24" t="s">
        <v>38</v>
      </c>
      <c r="F15" s="1" t="s">
        <v>0</v>
      </c>
      <c r="G15" s="3" t="str">
        <f t="shared" si="0"/>
        <v/>
      </c>
    </row>
    <row r="16" spans="1:9" ht="15" customHeight="1" x14ac:dyDescent="0.35">
      <c r="A16" s="10">
        <v>2015</v>
      </c>
      <c r="B16" s="11" t="s">
        <v>91</v>
      </c>
      <c r="C16" s="25" t="s">
        <v>90</v>
      </c>
      <c r="D16" s="12"/>
      <c r="E16" s="24" t="s">
        <v>39</v>
      </c>
      <c r="F16" s="1" t="s">
        <v>0</v>
      </c>
      <c r="G16" s="3" t="str">
        <f t="shared" si="0"/>
        <v/>
      </c>
    </row>
    <row r="17" spans="1:7" ht="15" customHeight="1" x14ac:dyDescent="0.35">
      <c r="A17" s="10">
        <v>2016</v>
      </c>
      <c r="B17" s="11" t="s">
        <v>91</v>
      </c>
      <c r="C17" s="25" t="s">
        <v>90</v>
      </c>
      <c r="D17" s="12"/>
      <c r="E17" s="24" t="s">
        <v>40</v>
      </c>
      <c r="F17" s="1" t="s">
        <v>0</v>
      </c>
      <c r="G17" s="3" t="str">
        <f t="shared" si="0"/>
        <v/>
      </c>
    </row>
    <row r="18" spans="1:7" ht="15" customHeight="1" x14ac:dyDescent="0.35">
      <c r="A18" s="10">
        <v>2017</v>
      </c>
      <c r="B18" s="11" t="s">
        <v>92</v>
      </c>
      <c r="C18" s="25" t="s">
        <v>90</v>
      </c>
      <c r="D18" s="12"/>
      <c r="E18" s="24" t="s">
        <v>41</v>
      </c>
      <c r="F18" s="1" t="s">
        <v>0</v>
      </c>
      <c r="G18" s="3" t="str">
        <f t="shared" si="0"/>
        <v/>
      </c>
    </row>
    <row r="19" spans="1:7" ht="15" customHeight="1" x14ac:dyDescent="0.35">
      <c r="A19" s="10">
        <v>2018</v>
      </c>
      <c r="B19" s="11" t="s">
        <v>92</v>
      </c>
      <c r="C19" s="25" t="s">
        <v>90</v>
      </c>
      <c r="D19" s="12"/>
      <c r="E19" s="24" t="s">
        <v>42</v>
      </c>
      <c r="F19" s="1" t="s">
        <v>0</v>
      </c>
      <c r="G19" s="3" t="str">
        <f t="shared" si="0"/>
        <v/>
      </c>
    </row>
    <row r="20" spans="1:7" ht="15" customHeight="1" x14ac:dyDescent="0.35">
      <c r="A20" s="10">
        <v>2019</v>
      </c>
      <c r="B20" s="11" t="s">
        <v>92</v>
      </c>
      <c r="C20" s="25" t="s">
        <v>90</v>
      </c>
      <c r="D20" s="12"/>
      <c r="E20" s="24" t="s">
        <v>43</v>
      </c>
      <c r="F20" s="1" t="s">
        <v>0</v>
      </c>
      <c r="G20" s="3" t="str">
        <f t="shared" si="0"/>
        <v/>
      </c>
    </row>
    <row r="21" spans="1:7" ht="15" customHeight="1" x14ac:dyDescent="0.35">
      <c r="A21" s="10">
        <v>2020</v>
      </c>
      <c r="B21" s="11" t="s">
        <v>92</v>
      </c>
      <c r="C21" s="25" t="s">
        <v>90</v>
      </c>
      <c r="D21" s="12"/>
      <c r="E21" s="24" t="s">
        <v>105</v>
      </c>
      <c r="F21" s="1" t="s">
        <v>0</v>
      </c>
      <c r="G21" s="3" t="str">
        <f t="shared" ref="G21:G22" si="1">IF(OR(AND(F21&gt;1,F21&lt;&gt;"-")),"Can exchange","")</f>
        <v/>
      </c>
    </row>
    <row r="22" spans="1:7" ht="15" customHeight="1" x14ac:dyDescent="0.35">
      <c r="A22" s="10">
        <v>2021</v>
      </c>
      <c r="B22" s="11" t="s">
        <v>92</v>
      </c>
      <c r="C22" s="25" t="s">
        <v>90</v>
      </c>
      <c r="D22" s="12"/>
      <c r="E22" s="24" t="s">
        <v>109</v>
      </c>
      <c r="F22" s="1" t="s">
        <v>0</v>
      </c>
      <c r="G22" s="3" t="str">
        <f t="shared" si="1"/>
        <v/>
      </c>
    </row>
    <row r="23" spans="1:7" ht="15" customHeight="1" x14ac:dyDescent="0.35">
      <c r="A23" s="10">
        <v>2022</v>
      </c>
      <c r="B23" s="11" t="s">
        <v>92</v>
      </c>
      <c r="C23" s="25" t="s">
        <v>90</v>
      </c>
      <c r="D23" s="12"/>
      <c r="E23" s="24" t="s">
        <v>112</v>
      </c>
      <c r="F23" s="1" t="s">
        <v>0</v>
      </c>
      <c r="G23" s="3" t="str">
        <f t="shared" ref="G23:G24" si="2">IF(OR(AND(F23&gt;1,F23&lt;&gt;"-")),"Can exchange","")</f>
        <v/>
      </c>
    </row>
    <row r="24" spans="1:7" ht="15" customHeight="1" x14ac:dyDescent="0.35">
      <c r="A24" s="10">
        <v>2023</v>
      </c>
      <c r="B24" s="11" t="s">
        <v>92</v>
      </c>
      <c r="C24" s="25" t="s">
        <v>90</v>
      </c>
      <c r="D24" s="12"/>
      <c r="E24" s="24" t="s">
        <v>116</v>
      </c>
      <c r="F24" s="1" t="s">
        <v>0</v>
      </c>
      <c r="G24" s="3" t="str">
        <f t="shared" si="2"/>
        <v/>
      </c>
    </row>
    <row r="25" spans="1:7" ht="15" customHeight="1" x14ac:dyDescent="0.35">
      <c r="A25" s="10">
        <v>2024</v>
      </c>
      <c r="B25" s="11" t="s">
        <v>92</v>
      </c>
      <c r="C25" s="25" t="s">
        <v>90</v>
      </c>
      <c r="D25" s="12"/>
      <c r="E25" s="24" t="s">
        <v>126</v>
      </c>
      <c r="F25" s="1" t="s">
        <v>0</v>
      </c>
      <c r="G25" s="3" t="str">
        <f t="shared" ref="G25:G26" si="3">IF(OR(AND(F25&gt;1,F25&lt;&gt;"-")),"Can exchange","")</f>
        <v/>
      </c>
    </row>
    <row r="26" spans="1:7" ht="15" customHeight="1" x14ac:dyDescent="0.35">
      <c r="A26" s="10">
        <v>2025</v>
      </c>
      <c r="B26" s="11" t="s">
        <v>92</v>
      </c>
      <c r="C26" s="25" t="s">
        <v>90</v>
      </c>
      <c r="D26" s="12"/>
      <c r="E26" s="24" t="s">
        <v>125</v>
      </c>
      <c r="F26" s="1" t="s">
        <v>0</v>
      </c>
      <c r="G26" s="3" t="str">
        <f t="shared" si="3"/>
        <v/>
      </c>
    </row>
  </sheetData>
  <autoFilter ref="B2:E2" xr:uid="{00000000-0001-0000-0000-000000000000}"/>
  <mergeCells count="2">
    <mergeCell ref="A1:A2"/>
    <mergeCell ref="C1:D1"/>
  </mergeCells>
  <phoneticPr fontId="8" type="noConversion"/>
  <conditionalFormatting sqref="F3:F20 F22 F24 F26">
    <cfRule type="containsText" dxfId="28" priority="3" operator="containsText" text="*-">
      <formula>NOT(ISERROR(SEARCH(("*-"),(F3))))</formula>
    </cfRule>
  </conditionalFormatting>
  <conditionalFormatting sqref="F3:F20 F22 F24 F26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1 F23 F25">
    <cfRule type="containsText" dxfId="27" priority="1" operator="containsText" text="*-">
      <formula>NOT(ISERROR(SEARCH(("*-"),(F21))))</formula>
    </cfRule>
  </conditionalFormatting>
  <conditionalFormatting sqref="F21 F23 F25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6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F7" sqref="F7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4" width="33.6328125" style="4" customWidth="1"/>
    <col min="5" max="5" width="12.6328125" style="4" customWidth="1"/>
    <col min="6" max="6" width="3.6328125" style="4" customWidth="1"/>
    <col min="7" max="7" width="12.6328125" style="4" customWidth="1"/>
  </cols>
  <sheetData>
    <row r="1" spans="1:9" ht="15" customHeight="1" x14ac:dyDescent="0.35">
      <c r="A1" s="28" t="s">
        <v>1</v>
      </c>
      <c r="B1" s="27"/>
      <c r="C1" s="30" t="s">
        <v>2</v>
      </c>
      <c r="D1" s="31"/>
      <c r="E1" s="8" t="s">
        <v>3</v>
      </c>
      <c r="F1" s="23" t="s">
        <v>5</v>
      </c>
      <c r="G1" s="2"/>
    </row>
    <row r="2" spans="1:9" ht="15" customHeight="1" x14ac:dyDescent="0.35">
      <c r="A2" s="29"/>
      <c r="B2" s="27" t="s">
        <v>121</v>
      </c>
      <c r="C2" s="7" t="s">
        <v>122</v>
      </c>
      <c r="D2" s="7" t="s">
        <v>123</v>
      </c>
      <c r="E2" s="9" t="s">
        <v>28</v>
      </c>
      <c r="F2" s="7" t="s">
        <v>28</v>
      </c>
      <c r="G2" s="2"/>
    </row>
    <row r="3" spans="1:9" ht="15" customHeight="1" x14ac:dyDescent="0.35">
      <c r="A3" s="10">
        <v>2002</v>
      </c>
      <c r="B3" s="11" t="s">
        <v>93</v>
      </c>
      <c r="C3" s="25" t="s">
        <v>90</v>
      </c>
      <c r="D3" s="6"/>
      <c r="E3" s="24" t="s">
        <v>29</v>
      </c>
      <c r="F3" s="1" t="s">
        <v>0</v>
      </c>
      <c r="G3" s="3" t="str">
        <f t="shared" ref="G3:G21" si="0">IF(OR(AND(F3&gt;1,F3&lt;&gt;"-")),"Can exchange","")</f>
        <v/>
      </c>
      <c r="I3" s="5"/>
    </row>
    <row r="4" spans="1:9" ht="15" customHeight="1" x14ac:dyDescent="0.35">
      <c r="A4" s="10">
        <v>2003</v>
      </c>
      <c r="B4" s="11" t="s">
        <v>93</v>
      </c>
      <c r="C4" s="25" t="s">
        <v>90</v>
      </c>
      <c r="D4" s="6"/>
      <c r="E4" s="24" t="s">
        <v>30</v>
      </c>
      <c r="F4" s="1" t="s">
        <v>0</v>
      </c>
      <c r="G4" s="3" t="str">
        <f t="shared" si="0"/>
        <v/>
      </c>
      <c r="I4" s="5"/>
    </row>
    <row r="5" spans="1:9" ht="15" customHeight="1" x14ac:dyDescent="0.35">
      <c r="A5" s="10">
        <v>2004</v>
      </c>
      <c r="B5" s="11" t="s">
        <v>93</v>
      </c>
      <c r="C5" s="25" t="s">
        <v>90</v>
      </c>
      <c r="D5" s="6"/>
      <c r="E5" s="13" t="s">
        <v>44</v>
      </c>
      <c r="F5" s="1">
        <v>1</v>
      </c>
      <c r="G5" s="3" t="str">
        <f t="shared" si="0"/>
        <v/>
      </c>
    </row>
    <row r="6" spans="1:9" ht="15" customHeight="1" x14ac:dyDescent="0.35">
      <c r="A6" s="10">
        <v>2005</v>
      </c>
      <c r="B6" s="11" t="s">
        <v>93</v>
      </c>
      <c r="C6" s="25" t="s">
        <v>90</v>
      </c>
      <c r="D6" s="6"/>
      <c r="E6" s="24" t="s">
        <v>45</v>
      </c>
      <c r="F6" s="1" t="s">
        <v>0</v>
      </c>
      <c r="G6" s="3" t="str">
        <f t="shared" si="0"/>
        <v/>
      </c>
    </row>
    <row r="7" spans="1:9" ht="15" customHeight="1" x14ac:dyDescent="0.35">
      <c r="A7" s="10">
        <v>2006</v>
      </c>
      <c r="B7" s="11" t="s">
        <v>93</v>
      </c>
      <c r="C7" s="25" t="s">
        <v>90</v>
      </c>
      <c r="D7" s="6"/>
      <c r="E7" s="13" t="s">
        <v>32</v>
      </c>
      <c r="F7" s="1">
        <v>1</v>
      </c>
      <c r="G7" s="3" t="str">
        <f t="shared" si="0"/>
        <v/>
      </c>
    </row>
    <row r="8" spans="1:9" ht="15" customHeight="1" x14ac:dyDescent="0.35">
      <c r="A8" s="10">
        <v>2007</v>
      </c>
      <c r="B8" s="11" t="s">
        <v>93</v>
      </c>
      <c r="C8" s="25" t="s">
        <v>90</v>
      </c>
      <c r="D8" s="6"/>
      <c r="E8" s="24" t="s">
        <v>30</v>
      </c>
      <c r="F8" s="1" t="s">
        <v>0</v>
      </c>
      <c r="G8" s="3" t="str">
        <f t="shared" si="0"/>
        <v/>
      </c>
    </row>
    <row r="9" spans="1:9" ht="15" customHeight="1" x14ac:dyDescent="0.35">
      <c r="A9" s="10">
        <v>2008</v>
      </c>
      <c r="B9" s="11" t="s">
        <v>93</v>
      </c>
      <c r="C9" s="25" t="s">
        <v>90</v>
      </c>
      <c r="D9" s="6"/>
      <c r="E9" s="24" t="s">
        <v>33</v>
      </c>
      <c r="F9" s="1" t="s">
        <v>0</v>
      </c>
      <c r="G9" s="3" t="str">
        <f t="shared" si="0"/>
        <v/>
      </c>
    </row>
    <row r="10" spans="1:9" ht="15" customHeight="1" x14ac:dyDescent="0.35">
      <c r="A10" s="10">
        <v>2009</v>
      </c>
      <c r="B10" s="11" t="s">
        <v>93</v>
      </c>
      <c r="C10" s="25" t="s">
        <v>90</v>
      </c>
      <c r="D10" s="6"/>
      <c r="E10" s="24" t="s">
        <v>33</v>
      </c>
      <c r="F10" s="1" t="s">
        <v>0</v>
      </c>
      <c r="G10" s="3" t="str">
        <f t="shared" si="0"/>
        <v/>
      </c>
    </row>
    <row r="11" spans="1:9" ht="15" customHeight="1" x14ac:dyDescent="0.35">
      <c r="A11" s="10">
        <v>2010</v>
      </c>
      <c r="B11" s="11" t="s">
        <v>93</v>
      </c>
      <c r="C11" s="25" t="s">
        <v>90</v>
      </c>
      <c r="D11" s="6"/>
      <c r="E11" s="24" t="s">
        <v>34</v>
      </c>
      <c r="F11" s="1" t="s">
        <v>0</v>
      </c>
      <c r="G11" s="3" t="str">
        <f t="shared" si="0"/>
        <v/>
      </c>
    </row>
    <row r="12" spans="1:9" ht="15" customHeight="1" x14ac:dyDescent="0.35">
      <c r="A12" s="10">
        <v>2011</v>
      </c>
      <c r="B12" s="11" t="s">
        <v>93</v>
      </c>
      <c r="C12" s="25" t="s">
        <v>90</v>
      </c>
      <c r="D12" s="6"/>
      <c r="E12" s="24" t="s">
        <v>35</v>
      </c>
      <c r="F12" s="1" t="s">
        <v>0</v>
      </c>
      <c r="G12" s="3" t="str">
        <f t="shared" si="0"/>
        <v/>
      </c>
    </row>
    <row r="13" spans="1:9" ht="15" customHeight="1" x14ac:dyDescent="0.35">
      <c r="A13" s="10">
        <v>2012</v>
      </c>
      <c r="B13" s="11" t="s">
        <v>93</v>
      </c>
      <c r="C13" s="25" t="s">
        <v>90</v>
      </c>
      <c r="D13" s="6"/>
      <c r="E13" s="24" t="s">
        <v>36</v>
      </c>
      <c r="F13" s="1" t="s">
        <v>0</v>
      </c>
      <c r="G13" s="3" t="str">
        <f t="shared" si="0"/>
        <v/>
      </c>
    </row>
    <row r="14" spans="1:9" ht="15" customHeight="1" x14ac:dyDescent="0.35">
      <c r="A14" s="10">
        <v>2013</v>
      </c>
      <c r="B14" s="11" t="s">
        <v>93</v>
      </c>
      <c r="C14" s="25" t="s">
        <v>90</v>
      </c>
      <c r="D14" s="6"/>
      <c r="E14" s="24" t="s">
        <v>37</v>
      </c>
      <c r="F14" s="1" t="s">
        <v>0</v>
      </c>
      <c r="G14" s="3" t="str">
        <f t="shared" si="0"/>
        <v/>
      </c>
    </row>
    <row r="15" spans="1:9" ht="15" customHeight="1" x14ac:dyDescent="0.35">
      <c r="A15" s="10">
        <v>2014</v>
      </c>
      <c r="B15" s="11" t="s">
        <v>93</v>
      </c>
      <c r="C15" s="25" t="s">
        <v>90</v>
      </c>
      <c r="D15" s="6"/>
      <c r="E15" s="24" t="s">
        <v>38</v>
      </c>
      <c r="F15" s="1" t="s">
        <v>0</v>
      </c>
      <c r="G15" s="3" t="str">
        <f t="shared" si="0"/>
        <v/>
      </c>
    </row>
    <row r="16" spans="1:9" ht="15" customHeight="1" x14ac:dyDescent="0.35">
      <c r="A16" s="10">
        <v>2015</v>
      </c>
      <c r="B16" s="11" t="s">
        <v>93</v>
      </c>
      <c r="C16" s="25" t="s">
        <v>90</v>
      </c>
      <c r="D16" s="6"/>
      <c r="E16" s="24" t="s">
        <v>39</v>
      </c>
      <c r="F16" s="1" t="s">
        <v>0</v>
      </c>
      <c r="G16" s="3" t="str">
        <f t="shared" si="0"/>
        <v/>
      </c>
    </row>
    <row r="17" spans="1:7" ht="15" customHeight="1" x14ac:dyDescent="0.35">
      <c r="A17" s="10">
        <v>2016</v>
      </c>
      <c r="B17" s="11" t="s">
        <v>93</v>
      </c>
      <c r="C17" s="25" t="s">
        <v>90</v>
      </c>
      <c r="D17" s="6"/>
      <c r="E17" s="24" t="s">
        <v>40</v>
      </c>
      <c r="F17" s="1" t="s">
        <v>0</v>
      </c>
      <c r="G17" s="3" t="str">
        <f t="shared" si="0"/>
        <v/>
      </c>
    </row>
    <row r="18" spans="1:7" ht="15" customHeight="1" x14ac:dyDescent="0.35">
      <c r="A18" s="10">
        <v>2017</v>
      </c>
      <c r="B18" s="11" t="s">
        <v>94</v>
      </c>
      <c r="C18" s="25" t="s">
        <v>90</v>
      </c>
      <c r="D18" s="6"/>
      <c r="E18" s="24" t="s">
        <v>41</v>
      </c>
      <c r="F18" s="1" t="s">
        <v>0</v>
      </c>
      <c r="G18" s="3" t="str">
        <f t="shared" si="0"/>
        <v/>
      </c>
    </row>
    <row r="19" spans="1:7" ht="15" customHeight="1" x14ac:dyDescent="0.35">
      <c r="A19" s="10">
        <v>2018</v>
      </c>
      <c r="B19" s="11" t="s">
        <v>94</v>
      </c>
      <c r="C19" s="25" t="s">
        <v>90</v>
      </c>
      <c r="D19" s="6"/>
      <c r="E19" s="24" t="s">
        <v>46</v>
      </c>
      <c r="F19" s="1" t="s">
        <v>0</v>
      </c>
      <c r="G19" s="3" t="str">
        <f t="shared" si="0"/>
        <v/>
      </c>
    </row>
    <row r="20" spans="1:7" ht="15" customHeight="1" x14ac:dyDescent="0.35">
      <c r="A20" s="10">
        <v>2019</v>
      </c>
      <c r="B20" s="11" t="s">
        <v>94</v>
      </c>
      <c r="C20" s="25" t="s">
        <v>90</v>
      </c>
      <c r="D20" s="6"/>
      <c r="E20" s="24" t="s">
        <v>43</v>
      </c>
      <c r="F20" s="1" t="s">
        <v>0</v>
      </c>
      <c r="G20" s="3" t="str">
        <f t="shared" si="0"/>
        <v/>
      </c>
    </row>
    <row r="21" spans="1:7" ht="15" customHeight="1" x14ac:dyDescent="0.35">
      <c r="A21" s="10">
        <v>2020</v>
      </c>
      <c r="B21" s="11" t="s">
        <v>94</v>
      </c>
      <c r="C21" s="25" t="s">
        <v>90</v>
      </c>
      <c r="D21" s="12"/>
      <c r="E21" s="24" t="s">
        <v>105</v>
      </c>
      <c r="F21" s="1" t="s">
        <v>0</v>
      </c>
      <c r="G21" s="3" t="str">
        <f t="shared" si="0"/>
        <v/>
      </c>
    </row>
    <row r="22" spans="1:7" ht="15" customHeight="1" x14ac:dyDescent="0.35">
      <c r="A22" s="10">
        <v>2021</v>
      </c>
      <c r="B22" s="11" t="s">
        <v>94</v>
      </c>
      <c r="C22" s="25" t="s">
        <v>90</v>
      </c>
      <c r="D22" s="6"/>
      <c r="E22" s="24" t="s">
        <v>109</v>
      </c>
      <c r="F22" s="1" t="s">
        <v>0</v>
      </c>
      <c r="G22" s="3" t="str">
        <f t="shared" ref="G22:G24" si="1">IF(OR(AND(F22&gt;1,F22&lt;&gt;"-")),"Can exchange","")</f>
        <v/>
      </c>
    </row>
    <row r="23" spans="1:7" ht="15" customHeight="1" x14ac:dyDescent="0.35">
      <c r="A23" s="10">
        <v>2022</v>
      </c>
      <c r="B23" s="11" t="s">
        <v>94</v>
      </c>
      <c r="C23" s="25" t="s">
        <v>90</v>
      </c>
      <c r="D23" s="12"/>
      <c r="E23" s="24" t="s">
        <v>112</v>
      </c>
      <c r="F23" s="1" t="s">
        <v>0</v>
      </c>
      <c r="G23" s="3" t="str">
        <f t="shared" si="1"/>
        <v/>
      </c>
    </row>
    <row r="24" spans="1:7" ht="15" customHeight="1" x14ac:dyDescent="0.35">
      <c r="A24" s="10">
        <v>2023</v>
      </c>
      <c r="B24" s="11" t="s">
        <v>94</v>
      </c>
      <c r="C24" s="25" t="s">
        <v>90</v>
      </c>
      <c r="D24" s="6"/>
      <c r="E24" s="24" t="s">
        <v>116</v>
      </c>
      <c r="F24" s="1" t="s">
        <v>0</v>
      </c>
      <c r="G24" s="3" t="str">
        <f t="shared" si="1"/>
        <v/>
      </c>
    </row>
    <row r="25" spans="1:7" ht="15" customHeight="1" x14ac:dyDescent="0.35">
      <c r="A25" s="10">
        <v>2024</v>
      </c>
      <c r="B25" s="11" t="s">
        <v>94</v>
      </c>
      <c r="C25" s="25" t="s">
        <v>90</v>
      </c>
      <c r="D25" s="12"/>
      <c r="E25" s="24" t="s">
        <v>126</v>
      </c>
      <c r="F25" s="1" t="s">
        <v>0</v>
      </c>
      <c r="G25" s="3" t="str">
        <f t="shared" ref="G25:G26" si="2">IF(OR(AND(F25&gt;1,F25&lt;&gt;"-")),"Can exchange","")</f>
        <v/>
      </c>
    </row>
    <row r="26" spans="1:7" ht="15" customHeight="1" x14ac:dyDescent="0.35">
      <c r="A26" s="10">
        <v>2025</v>
      </c>
      <c r="B26" s="11" t="s">
        <v>94</v>
      </c>
      <c r="C26" s="25" t="s">
        <v>90</v>
      </c>
      <c r="D26" s="6"/>
      <c r="E26" s="24" t="s">
        <v>125</v>
      </c>
      <c r="F26" s="1" t="s">
        <v>0</v>
      </c>
      <c r="G26" s="3" t="str">
        <f t="shared" si="2"/>
        <v/>
      </c>
    </row>
  </sheetData>
  <autoFilter ref="B2:E2" xr:uid="{00000000-0001-0000-0100-000000000000}"/>
  <mergeCells count="2">
    <mergeCell ref="A1:A2"/>
    <mergeCell ref="C1:D1"/>
  </mergeCells>
  <phoneticPr fontId="8" type="noConversion"/>
  <conditionalFormatting sqref="F3:F20 F22 F24 F26">
    <cfRule type="containsText" dxfId="26" priority="3" operator="containsText" text="*-">
      <formula>NOT(ISERROR(SEARCH(("*-"),(F3))))</formula>
    </cfRule>
  </conditionalFormatting>
  <conditionalFormatting sqref="F3:F20 F22 F24 F26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1 F23 F25">
    <cfRule type="containsText" dxfId="25" priority="1" operator="containsText" text="*-">
      <formula>NOT(ISERROR(SEARCH(("*-"),(F21))))</formula>
    </cfRule>
  </conditionalFormatting>
  <conditionalFormatting sqref="F21 F23 F25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6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D31" sqref="D31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4" width="33.6328125" style="4" customWidth="1"/>
    <col min="5" max="5" width="12.6328125" style="4" customWidth="1"/>
    <col min="6" max="6" width="3.6328125" style="4" customWidth="1"/>
    <col min="7" max="7" width="12.6328125" style="4" customWidth="1"/>
  </cols>
  <sheetData>
    <row r="1" spans="1:9" ht="15" customHeight="1" x14ac:dyDescent="0.35">
      <c r="A1" s="28" t="s">
        <v>1</v>
      </c>
      <c r="B1" s="27"/>
      <c r="C1" s="30" t="s">
        <v>2</v>
      </c>
      <c r="D1" s="31"/>
      <c r="E1" s="8" t="s">
        <v>3</v>
      </c>
      <c r="F1" s="23" t="s">
        <v>6</v>
      </c>
      <c r="G1" s="2"/>
    </row>
    <row r="2" spans="1:9" ht="15" customHeight="1" x14ac:dyDescent="0.35">
      <c r="A2" s="29"/>
      <c r="B2" s="27" t="s">
        <v>121</v>
      </c>
      <c r="C2" s="7" t="s">
        <v>122</v>
      </c>
      <c r="D2" s="7" t="s">
        <v>123</v>
      </c>
      <c r="E2" s="9" t="s">
        <v>28</v>
      </c>
      <c r="F2" s="7" t="s">
        <v>28</v>
      </c>
      <c r="G2" s="2"/>
    </row>
    <row r="3" spans="1:9" ht="15" customHeight="1" x14ac:dyDescent="0.35">
      <c r="A3" s="10">
        <v>2002</v>
      </c>
      <c r="B3" s="11" t="s">
        <v>95</v>
      </c>
      <c r="C3" s="25" t="s">
        <v>90</v>
      </c>
      <c r="D3" s="6"/>
      <c r="E3" s="24" t="s">
        <v>29</v>
      </c>
      <c r="F3" s="1" t="s">
        <v>0</v>
      </c>
      <c r="G3" s="3" t="str">
        <f t="shared" ref="G3:G21" si="0">IF(OR(AND(F3&gt;1,F3&lt;&gt;"-")),"Can exchange","")</f>
        <v/>
      </c>
      <c r="I3" s="5"/>
    </row>
    <row r="4" spans="1:9" ht="15" customHeight="1" x14ac:dyDescent="0.35">
      <c r="A4" s="10">
        <v>2003</v>
      </c>
      <c r="B4" s="11" t="s">
        <v>95</v>
      </c>
      <c r="C4" s="25" t="s">
        <v>90</v>
      </c>
      <c r="D4" s="6"/>
      <c r="E4" s="24" t="s">
        <v>30</v>
      </c>
      <c r="F4" s="1" t="s">
        <v>0</v>
      </c>
      <c r="G4" s="3" t="str">
        <f t="shared" si="0"/>
        <v/>
      </c>
      <c r="I4" s="5"/>
    </row>
    <row r="5" spans="1:9" ht="15" customHeight="1" x14ac:dyDescent="0.35">
      <c r="A5" s="10">
        <v>2004</v>
      </c>
      <c r="B5" s="11" t="s">
        <v>95</v>
      </c>
      <c r="C5" s="25" t="s">
        <v>90</v>
      </c>
      <c r="D5" s="6"/>
      <c r="E5" s="13" t="s">
        <v>47</v>
      </c>
      <c r="F5" s="1">
        <v>0</v>
      </c>
      <c r="G5" s="3" t="str">
        <f t="shared" si="0"/>
        <v/>
      </c>
    </row>
    <row r="6" spans="1:9" ht="15" customHeight="1" x14ac:dyDescent="0.35">
      <c r="A6" s="10">
        <v>2005</v>
      </c>
      <c r="B6" s="11" t="s">
        <v>95</v>
      </c>
      <c r="C6" s="25" t="s">
        <v>90</v>
      </c>
      <c r="D6" s="6"/>
      <c r="E6" s="24" t="s">
        <v>30</v>
      </c>
      <c r="F6" s="1" t="s">
        <v>0</v>
      </c>
      <c r="G6" s="3" t="str">
        <f t="shared" si="0"/>
        <v/>
      </c>
    </row>
    <row r="7" spans="1:9" ht="15" customHeight="1" x14ac:dyDescent="0.35">
      <c r="A7" s="10">
        <v>2006</v>
      </c>
      <c r="B7" s="11" t="s">
        <v>95</v>
      </c>
      <c r="C7" s="25" t="s">
        <v>90</v>
      </c>
      <c r="D7" s="6"/>
      <c r="E7" s="13" t="s">
        <v>48</v>
      </c>
      <c r="F7" s="1">
        <v>1</v>
      </c>
      <c r="G7" s="3" t="str">
        <f t="shared" si="0"/>
        <v/>
      </c>
    </row>
    <row r="8" spans="1:9" ht="15" customHeight="1" x14ac:dyDescent="0.35">
      <c r="A8" s="10">
        <v>2007</v>
      </c>
      <c r="B8" s="11" t="s">
        <v>95</v>
      </c>
      <c r="C8" s="25" t="s">
        <v>90</v>
      </c>
      <c r="D8" s="6"/>
      <c r="E8" s="24" t="s">
        <v>30</v>
      </c>
      <c r="F8" s="1" t="s">
        <v>0</v>
      </c>
      <c r="G8" s="3" t="str">
        <f t="shared" si="0"/>
        <v/>
      </c>
    </row>
    <row r="9" spans="1:9" ht="15" customHeight="1" x14ac:dyDescent="0.35">
      <c r="A9" s="10">
        <v>2008</v>
      </c>
      <c r="B9" s="11" t="s">
        <v>95</v>
      </c>
      <c r="C9" s="25" t="s">
        <v>90</v>
      </c>
      <c r="D9" s="6"/>
      <c r="E9" s="24" t="s">
        <v>33</v>
      </c>
      <c r="F9" s="1" t="s">
        <v>0</v>
      </c>
      <c r="G9" s="3" t="str">
        <f t="shared" si="0"/>
        <v/>
      </c>
    </row>
    <row r="10" spans="1:9" ht="15" customHeight="1" x14ac:dyDescent="0.35">
      <c r="A10" s="10">
        <v>2009</v>
      </c>
      <c r="B10" s="11" t="s">
        <v>95</v>
      </c>
      <c r="C10" s="25" t="s">
        <v>90</v>
      </c>
      <c r="D10" s="6"/>
      <c r="E10" s="24" t="s">
        <v>33</v>
      </c>
      <c r="F10" s="1" t="s">
        <v>0</v>
      </c>
      <c r="G10" s="3" t="str">
        <f t="shared" si="0"/>
        <v/>
      </c>
    </row>
    <row r="11" spans="1:9" ht="15" customHeight="1" x14ac:dyDescent="0.35">
      <c r="A11" s="10">
        <v>2010</v>
      </c>
      <c r="B11" s="11" t="s">
        <v>95</v>
      </c>
      <c r="C11" s="25" t="s">
        <v>90</v>
      </c>
      <c r="D11" s="6"/>
      <c r="E11" s="24" t="s">
        <v>34</v>
      </c>
      <c r="F11" s="1" t="s">
        <v>0</v>
      </c>
      <c r="G11" s="3" t="str">
        <f t="shared" si="0"/>
        <v/>
      </c>
    </row>
    <row r="12" spans="1:9" ht="15" customHeight="1" x14ac:dyDescent="0.35">
      <c r="A12" s="10">
        <v>2011</v>
      </c>
      <c r="B12" s="11" t="s">
        <v>95</v>
      </c>
      <c r="C12" s="25" t="s">
        <v>90</v>
      </c>
      <c r="D12" s="6"/>
      <c r="E12" s="24" t="s">
        <v>35</v>
      </c>
      <c r="F12" s="1" t="s">
        <v>0</v>
      </c>
      <c r="G12" s="3" t="str">
        <f t="shared" si="0"/>
        <v/>
      </c>
    </row>
    <row r="13" spans="1:9" ht="15" customHeight="1" x14ac:dyDescent="0.35">
      <c r="A13" s="10">
        <v>2012</v>
      </c>
      <c r="B13" s="11" t="s">
        <v>95</v>
      </c>
      <c r="C13" s="25" t="s">
        <v>90</v>
      </c>
      <c r="D13" s="6"/>
      <c r="E13" s="24" t="s">
        <v>36</v>
      </c>
      <c r="F13" s="1" t="s">
        <v>0</v>
      </c>
      <c r="G13" s="3" t="str">
        <f t="shared" si="0"/>
        <v/>
      </c>
    </row>
    <row r="14" spans="1:9" ht="15" customHeight="1" x14ac:dyDescent="0.35">
      <c r="A14" s="10">
        <v>2013</v>
      </c>
      <c r="B14" s="11" t="s">
        <v>95</v>
      </c>
      <c r="C14" s="25" t="s">
        <v>90</v>
      </c>
      <c r="D14" s="6"/>
      <c r="E14" s="24" t="s">
        <v>37</v>
      </c>
      <c r="F14" s="1" t="s">
        <v>0</v>
      </c>
      <c r="G14" s="3" t="str">
        <f t="shared" si="0"/>
        <v/>
      </c>
    </row>
    <row r="15" spans="1:9" ht="15" customHeight="1" x14ac:dyDescent="0.35">
      <c r="A15" s="10">
        <v>2014</v>
      </c>
      <c r="B15" s="11" t="s">
        <v>95</v>
      </c>
      <c r="C15" s="25" t="s">
        <v>90</v>
      </c>
      <c r="D15" s="6"/>
      <c r="E15" s="24" t="s">
        <v>38</v>
      </c>
      <c r="F15" s="1" t="s">
        <v>0</v>
      </c>
      <c r="G15" s="3" t="str">
        <f t="shared" si="0"/>
        <v/>
      </c>
    </row>
    <row r="16" spans="1:9" ht="15" customHeight="1" x14ac:dyDescent="0.35">
      <c r="A16" s="10">
        <v>2015</v>
      </c>
      <c r="B16" s="11" t="s">
        <v>95</v>
      </c>
      <c r="C16" s="25" t="s">
        <v>90</v>
      </c>
      <c r="D16" s="6"/>
      <c r="E16" s="24" t="s">
        <v>39</v>
      </c>
      <c r="F16" s="1" t="s">
        <v>0</v>
      </c>
      <c r="G16" s="3" t="str">
        <f t="shared" si="0"/>
        <v/>
      </c>
    </row>
    <row r="17" spans="1:7" ht="15" customHeight="1" x14ac:dyDescent="0.35">
      <c r="A17" s="10">
        <v>2016</v>
      </c>
      <c r="B17" s="11" t="s">
        <v>95</v>
      </c>
      <c r="C17" s="25" t="s">
        <v>90</v>
      </c>
      <c r="D17" s="6"/>
      <c r="E17" s="24" t="s">
        <v>40</v>
      </c>
      <c r="F17" s="1" t="s">
        <v>0</v>
      </c>
      <c r="G17" s="3" t="str">
        <f t="shared" si="0"/>
        <v/>
      </c>
    </row>
    <row r="18" spans="1:7" ht="15" customHeight="1" x14ac:dyDescent="0.35">
      <c r="A18" s="10">
        <v>2017</v>
      </c>
      <c r="B18" s="11" t="s">
        <v>96</v>
      </c>
      <c r="C18" s="25" t="s">
        <v>90</v>
      </c>
      <c r="D18" s="6"/>
      <c r="E18" s="24" t="s">
        <v>41</v>
      </c>
      <c r="F18" s="1" t="s">
        <v>0</v>
      </c>
      <c r="G18" s="3" t="str">
        <f t="shared" si="0"/>
        <v/>
      </c>
    </row>
    <row r="19" spans="1:7" ht="15" customHeight="1" x14ac:dyDescent="0.35">
      <c r="A19" s="10">
        <v>2018</v>
      </c>
      <c r="B19" s="11" t="s">
        <v>96</v>
      </c>
      <c r="C19" s="25" t="s">
        <v>90</v>
      </c>
      <c r="D19" s="6"/>
      <c r="E19" s="24" t="s">
        <v>42</v>
      </c>
      <c r="F19" s="1" t="s">
        <v>0</v>
      </c>
      <c r="G19" s="3" t="str">
        <f t="shared" si="0"/>
        <v/>
      </c>
    </row>
    <row r="20" spans="1:7" ht="15" customHeight="1" x14ac:dyDescent="0.35">
      <c r="A20" s="10">
        <v>2019</v>
      </c>
      <c r="B20" s="11" t="s">
        <v>96</v>
      </c>
      <c r="C20" s="25" t="s">
        <v>90</v>
      </c>
      <c r="D20" s="6"/>
      <c r="E20" s="24" t="s">
        <v>43</v>
      </c>
      <c r="F20" s="1" t="s">
        <v>0</v>
      </c>
      <c r="G20" s="3" t="str">
        <f t="shared" si="0"/>
        <v/>
      </c>
    </row>
    <row r="21" spans="1:7" ht="15" customHeight="1" x14ac:dyDescent="0.35">
      <c r="A21" s="10">
        <v>2020</v>
      </c>
      <c r="B21" s="11" t="s">
        <v>96</v>
      </c>
      <c r="C21" s="25" t="s">
        <v>90</v>
      </c>
      <c r="D21" s="12"/>
      <c r="E21" s="24" t="s">
        <v>105</v>
      </c>
      <c r="F21" s="1" t="s">
        <v>0</v>
      </c>
      <c r="G21" s="3" t="str">
        <f t="shared" si="0"/>
        <v/>
      </c>
    </row>
    <row r="22" spans="1:7" ht="15" customHeight="1" x14ac:dyDescent="0.35">
      <c r="A22" s="10">
        <v>2021</v>
      </c>
      <c r="B22" s="11" t="s">
        <v>96</v>
      </c>
      <c r="C22" s="25" t="s">
        <v>90</v>
      </c>
      <c r="D22" s="6"/>
      <c r="E22" s="24" t="s">
        <v>109</v>
      </c>
      <c r="F22" s="1" t="s">
        <v>0</v>
      </c>
      <c r="G22" s="3" t="str">
        <f t="shared" ref="G22:G24" si="1">IF(OR(AND(F22&gt;1,F22&lt;&gt;"-")),"Can exchange","")</f>
        <v/>
      </c>
    </row>
    <row r="23" spans="1:7" ht="15" customHeight="1" x14ac:dyDescent="0.35">
      <c r="A23" s="10">
        <v>2022</v>
      </c>
      <c r="B23" s="11" t="s">
        <v>96</v>
      </c>
      <c r="C23" s="25" t="s">
        <v>90</v>
      </c>
      <c r="D23" s="12"/>
      <c r="E23" s="24" t="s">
        <v>112</v>
      </c>
      <c r="F23" s="1" t="s">
        <v>0</v>
      </c>
      <c r="G23" s="3" t="str">
        <f t="shared" si="1"/>
        <v/>
      </c>
    </row>
    <row r="24" spans="1:7" ht="15" customHeight="1" x14ac:dyDescent="0.35">
      <c r="A24" s="10">
        <v>2023</v>
      </c>
      <c r="B24" s="11" t="s">
        <v>96</v>
      </c>
      <c r="C24" s="25" t="s">
        <v>90</v>
      </c>
      <c r="D24" s="6"/>
      <c r="E24" s="24" t="s">
        <v>116</v>
      </c>
      <c r="F24" s="1" t="s">
        <v>0</v>
      </c>
      <c r="G24" s="3" t="str">
        <f t="shared" si="1"/>
        <v/>
      </c>
    </row>
    <row r="25" spans="1:7" ht="15" customHeight="1" x14ac:dyDescent="0.35">
      <c r="A25" s="10">
        <v>2024</v>
      </c>
      <c r="B25" s="11" t="s">
        <v>96</v>
      </c>
      <c r="C25" s="25" t="s">
        <v>90</v>
      </c>
      <c r="D25" s="12"/>
      <c r="E25" s="24" t="s">
        <v>126</v>
      </c>
      <c r="F25" s="1" t="s">
        <v>0</v>
      </c>
      <c r="G25" s="3" t="str">
        <f t="shared" ref="G25:G26" si="2">IF(OR(AND(F25&gt;1,F25&lt;&gt;"-")),"Can exchange","")</f>
        <v/>
      </c>
    </row>
    <row r="26" spans="1:7" ht="15" customHeight="1" x14ac:dyDescent="0.35">
      <c r="A26" s="10">
        <v>2025</v>
      </c>
      <c r="B26" s="11" t="s">
        <v>96</v>
      </c>
      <c r="C26" s="25" t="s">
        <v>90</v>
      </c>
      <c r="D26" s="6"/>
      <c r="E26" s="24" t="s">
        <v>125</v>
      </c>
      <c r="F26" s="1" t="s">
        <v>0</v>
      </c>
      <c r="G26" s="3" t="str">
        <f t="shared" si="2"/>
        <v/>
      </c>
    </row>
  </sheetData>
  <autoFilter ref="B2:E2" xr:uid="{00000000-0001-0000-0200-000000000000}"/>
  <mergeCells count="2">
    <mergeCell ref="A1:A2"/>
    <mergeCell ref="C1:D1"/>
  </mergeCells>
  <phoneticPr fontId="8" type="noConversion"/>
  <conditionalFormatting sqref="F3:F20 F22 F24 F26">
    <cfRule type="containsText" dxfId="24" priority="3" operator="containsText" text="*-">
      <formula>NOT(ISERROR(SEARCH(("*-"),(F3))))</formula>
    </cfRule>
  </conditionalFormatting>
  <conditionalFormatting sqref="F3:F20 F22 F24 F26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1 F23 F25">
    <cfRule type="containsText" dxfId="23" priority="1" operator="containsText" text="*-">
      <formula>NOT(ISERROR(SEARCH(("*-"),(F21))))</formula>
    </cfRule>
  </conditionalFormatting>
  <conditionalFormatting sqref="F21 F23 F25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6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C29" sqref="C29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4" width="33.6328125" style="4" customWidth="1"/>
    <col min="5" max="5" width="12.6328125" style="4" customWidth="1"/>
    <col min="6" max="6" width="3.6328125" style="4" customWidth="1"/>
    <col min="7" max="7" width="12.6328125" style="4" customWidth="1"/>
  </cols>
  <sheetData>
    <row r="1" spans="1:7" ht="15" customHeight="1" x14ac:dyDescent="0.35">
      <c r="A1" s="32" t="s">
        <v>1</v>
      </c>
      <c r="B1" s="27"/>
      <c r="C1" s="30" t="s">
        <v>2</v>
      </c>
      <c r="D1" s="34"/>
      <c r="E1" s="8" t="s">
        <v>3</v>
      </c>
      <c r="F1" s="23" t="s">
        <v>7</v>
      </c>
      <c r="G1" s="2"/>
    </row>
    <row r="2" spans="1:7" ht="15" customHeight="1" x14ac:dyDescent="0.35">
      <c r="A2" s="33"/>
      <c r="B2" s="27" t="s">
        <v>121</v>
      </c>
      <c r="C2" s="7" t="s">
        <v>122</v>
      </c>
      <c r="D2" s="7" t="s">
        <v>124</v>
      </c>
      <c r="E2" s="9" t="s">
        <v>28</v>
      </c>
      <c r="F2" s="7" t="s">
        <v>28</v>
      </c>
      <c r="G2" s="2"/>
    </row>
    <row r="3" spans="1:7" ht="15" customHeight="1" x14ac:dyDescent="0.35">
      <c r="A3" s="10">
        <v>2002</v>
      </c>
      <c r="B3" s="9" t="s">
        <v>97</v>
      </c>
      <c r="C3" s="25" t="s">
        <v>90</v>
      </c>
      <c r="D3" s="6" t="s">
        <v>8</v>
      </c>
      <c r="E3" s="24" t="s">
        <v>29</v>
      </c>
      <c r="F3" s="1" t="s">
        <v>0</v>
      </c>
      <c r="G3" s="3" t="str">
        <f t="shared" ref="G3:G21" si="0">IF(OR(AND(F3&gt;1,F3&lt;&gt;"-")),"Can exchange","")</f>
        <v/>
      </c>
    </row>
    <row r="4" spans="1:7" ht="15" customHeight="1" x14ac:dyDescent="0.35">
      <c r="A4" s="10">
        <v>2003</v>
      </c>
      <c r="B4" s="9" t="s">
        <v>97</v>
      </c>
      <c r="C4" s="25" t="s">
        <v>90</v>
      </c>
      <c r="D4" s="6" t="s">
        <v>8</v>
      </c>
      <c r="E4" s="24" t="s">
        <v>30</v>
      </c>
      <c r="F4" s="1" t="s">
        <v>0</v>
      </c>
      <c r="G4" s="3" t="str">
        <f t="shared" si="0"/>
        <v/>
      </c>
    </row>
    <row r="5" spans="1:7" ht="15" customHeight="1" x14ac:dyDescent="0.35">
      <c r="A5" s="10">
        <v>2004</v>
      </c>
      <c r="B5" s="9" t="s">
        <v>97</v>
      </c>
      <c r="C5" s="25" t="s">
        <v>90</v>
      </c>
      <c r="D5" s="6" t="s">
        <v>8</v>
      </c>
      <c r="E5" s="13" t="s">
        <v>49</v>
      </c>
      <c r="F5" s="1">
        <v>0</v>
      </c>
      <c r="G5" s="3" t="str">
        <f t="shared" si="0"/>
        <v/>
      </c>
    </row>
    <row r="6" spans="1:7" ht="15" customHeight="1" x14ac:dyDescent="0.35">
      <c r="A6" s="10">
        <v>2005</v>
      </c>
      <c r="B6" s="9" t="s">
        <v>97</v>
      </c>
      <c r="C6" s="25" t="s">
        <v>90</v>
      </c>
      <c r="D6" s="6" t="s">
        <v>8</v>
      </c>
      <c r="E6" s="24" t="s">
        <v>30</v>
      </c>
      <c r="F6" s="1" t="s">
        <v>0</v>
      </c>
      <c r="G6" s="3" t="str">
        <f t="shared" si="0"/>
        <v/>
      </c>
    </row>
    <row r="7" spans="1:7" ht="15" customHeight="1" x14ac:dyDescent="0.35">
      <c r="A7" s="10">
        <v>2006</v>
      </c>
      <c r="B7" s="9" t="s">
        <v>97</v>
      </c>
      <c r="C7" s="25" t="s">
        <v>90</v>
      </c>
      <c r="D7" s="6" t="s">
        <v>8</v>
      </c>
      <c r="E7" s="13" t="s">
        <v>30</v>
      </c>
      <c r="F7" s="1">
        <v>0</v>
      </c>
      <c r="G7" s="3" t="str">
        <f t="shared" si="0"/>
        <v/>
      </c>
    </row>
    <row r="8" spans="1:7" ht="15" customHeight="1" x14ac:dyDescent="0.35">
      <c r="A8" s="10">
        <v>2007</v>
      </c>
      <c r="B8" s="9" t="s">
        <v>97</v>
      </c>
      <c r="C8" s="25" t="s">
        <v>90</v>
      </c>
      <c r="D8" s="6" t="s">
        <v>8</v>
      </c>
      <c r="E8" s="24" t="s">
        <v>50</v>
      </c>
      <c r="F8" s="1" t="s">
        <v>0</v>
      </c>
      <c r="G8" s="3" t="str">
        <f t="shared" si="0"/>
        <v/>
      </c>
    </row>
    <row r="9" spans="1:7" ht="15" customHeight="1" x14ac:dyDescent="0.35">
      <c r="A9" s="10">
        <v>2008</v>
      </c>
      <c r="B9" s="9" t="s">
        <v>97</v>
      </c>
      <c r="C9" s="25" t="s">
        <v>90</v>
      </c>
      <c r="D9" s="6" t="s">
        <v>9</v>
      </c>
      <c r="E9" s="24" t="s">
        <v>33</v>
      </c>
      <c r="F9" s="1" t="s">
        <v>0</v>
      </c>
      <c r="G9" s="3" t="str">
        <f t="shared" si="0"/>
        <v/>
      </c>
    </row>
    <row r="10" spans="1:7" ht="15" customHeight="1" x14ac:dyDescent="0.35">
      <c r="A10" s="10">
        <v>2009</v>
      </c>
      <c r="B10" s="9" t="s">
        <v>97</v>
      </c>
      <c r="C10" s="25" t="s">
        <v>90</v>
      </c>
      <c r="D10" s="6" t="s">
        <v>9</v>
      </c>
      <c r="E10" s="24" t="s">
        <v>33</v>
      </c>
      <c r="F10" s="1" t="s">
        <v>0</v>
      </c>
      <c r="G10" s="3" t="str">
        <f t="shared" si="0"/>
        <v/>
      </c>
    </row>
    <row r="11" spans="1:7" ht="15" customHeight="1" x14ac:dyDescent="0.35">
      <c r="A11" s="10">
        <v>2010</v>
      </c>
      <c r="B11" s="9" t="s">
        <v>97</v>
      </c>
      <c r="C11" s="25" t="s">
        <v>90</v>
      </c>
      <c r="D11" s="6" t="s">
        <v>9</v>
      </c>
      <c r="E11" s="24" t="s">
        <v>51</v>
      </c>
      <c r="F11" s="1" t="s">
        <v>0</v>
      </c>
      <c r="G11" s="3" t="str">
        <f t="shared" si="0"/>
        <v/>
      </c>
    </row>
    <row r="12" spans="1:7" ht="15" customHeight="1" x14ac:dyDescent="0.35">
      <c r="A12" s="10">
        <v>2011</v>
      </c>
      <c r="B12" s="9" t="s">
        <v>97</v>
      </c>
      <c r="C12" s="25" t="s">
        <v>90</v>
      </c>
      <c r="D12" s="6" t="s">
        <v>9</v>
      </c>
      <c r="E12" s="24" t="s">
        <v>35</v>
      </c>
      <c r="F12" s="1" t="s">
        <v>0</v>
      </c>
      <c r="G12" s="3" t="str">
        <f t="shared" si="0"/>
        <v/>
      </c>
    </row>
    <row r="13" spans="1:7" ht="15" customHeight="1" x14ac:dyDescent="0.35">
      <c r="A13" s="10">
        <v>2012</v>
      </c>
      <c r="B13" s="9" t="s">
        <v>97</v>
      </c>
      <c r="C13" s="25" t="s">
        <v>90</v>
      </c>
      <c r="D13" s="6" t="s">
        <v>9</v>
      </c>
      <c r="E13" s="24" t="s">
        <v>36</v>
      </c>
      <c r="F13" s="1" t="s">
        <v>0</v>
      </c>
      <c r="G13" s="3" t="str">
        <f t="shared" si="0"/>
        <v/>
      </c>
    </row>
    <row r="14" spans="1:7" ht="15" customHeight="1" x14ac:dyDescent="0.35">
      <c r="A14" s="10">
        <v>2013</v>
      </c>
      <c r="B14" s="9" t="s">
        <v>97</v>
      </c>
      <c r="C14" s="25" t="s">
        <v>90</v>
      </c>
      <c r="D14" s="6" t="s">
        <v>9</v>
      </c>
      <c r="E14" s="24" t="s">
        <v>52</v>
      </c>
      <c r="F14" s="1" t="s">
        <v>0</v>
      </c>
      <c r="G14" s="3" t="str">
        <f t="shared" si="0"/>
        <v/>
      </c>
    </row>
    <row r="15" spans="1:7" ht="15" customHeight="1" x14ac:dyDescent="0.35">
      <c r="A15" s="10">
        <v>2014</v>
      </c>
      <c r="B15" s="9" t="s">
        <v>97</v>
      </c>
      <c r="C15" s="25" t="s">
        <v>90</v>
      </c>
      <c r="D15" s="6" t="s">
        <v>9</v>
      </c>
      <c r="E15" s="24" t="s">
        <v>38</v>
      </c>
      <c r="F15" s="1" t="s">
        <v>0</v>
      </c>
      <c r="G15" s="3" t="str">
        <f t="shared" si="0"/>
        <v/>
      </c>
    </row>
    <row r="16" spans="1:7" ht="15" customHeight="1" x14ac:dyDescent="0.35">
      <c r="A16" s="10">
        <v>2015</v>
      </c>
      <c r="B16" s="9" t="s">
        <v>97</v>
      </c>
      <c r="C16" s="25" t="s">
        <v>90</v>
      </c>
      <c r="D16" s="6" t="s">
        <v>9</v>
      </c>
      <c r="E16" s="24" t="s">
        <v>39</v>
      </c>
      <c r="F16" s="1" t="s">
        <v>0</v>
      </c>
      <c r="G16" s="3" t="str">
        <f t="shared" si="0"/>
        <v/>
      </c>
    </row>
    <row r="17" spans="1:7" ht="15" customHeight="1" x14ac:dyDescent="0.35">
      <c r="A17" s="10">
        <v>2016</v>
      </c>
      <c r="B17" s="9" t="s">
        <v>97</v>
      </c>
      <c r="C17" s="25" t="s">
        <v>90</v>
      </c>
      <c r="D17" s="6" t="s">
        <v>9</v>
      </c>
      <c r="E17" s="24" t="s">
        <v>40</v>
      </c>
      <c r="F17" s="1" t="s">
        <v>0</v>
      </c>
      <c r="G17" s="3" t="str">
        <f t="shared" si="0"/>
        <v/>
      </c>
    </row>
    <row r="18" spans="1:7" ht="15" customHeight="1" x14ac:dyDescent="0.35">
      <c r="A18" s="10">
        <v>2017</v>
      </c>
      <c r="B18" s="9" t="s">
        <v>98</v>
      </c>
      <c r="C18" s="25" t="s">
        <v>90</v>
      </c>
      <c r="D18" s="6" t="s">
        <v>9</v>
      </c>
      <c r="E18" s="24" t="s">
        <v>41</v>
      </c>
      <c r="F18" s="1" t="s">
        <v>0</v>
      </c>
      <c r="G18" s="3" t="str">
        <f t="shared" si="0"/>
        <v/>
      </c>
    </row>
    <row r="19" spans="1:7" ht="15" customHeight="1" x14ac:dyDescent="0.35">
      <c r="A19" s="10">
        <v>2018</v>
      </c>
      <c r="B19" s="9" t="s">
        <v>98</v>
      </c>
      <c r="C19" s="25" t="s">
        <v>90</v>
      </c>
      <c r="D19" s="6" t="s">
        <v>9</v>
      </c>
      <c r="E19" s="24" t="s">
        <v>46</v>
      </c>
      <c r="F19" s="1" t="s">
        <v>0</v>
      </c>
      <c r="G19" s="3" t="str">
        <f t="shared" si="0"/>
        <v/>
      </c>
    </row>
    <row r="20" spans="1:7" ht="15" customHeight="1" x14ac:dyDescent="0.35">
      <c r="A20" s="10">
        <v>2019</v>
      </c>
      <c r="B20" s="9" t="s">
        <v>98</v>
      </c>
      <c r="C20" s="25" t="s">
        <v>90</v>
      </c>
      <c r="D20" s="6" t="s">
        <v>9</v>
      </c>
      <c r="E20" s="24" t="s">
        <v>43</v>
      </c>
      <c r="F20" s="1" t="s">
        <v>0</v>
      </c>
      <c r="G20" s="3" t="str">
        <f t="shared" si="0"/>
        <v/>
      </c>
    </row>
    <row r="21" spans="1:7" ht="15" customHeight="1" x14ac:dyDescent="0.35">
      <c r="A21" s="10">
        <v>2020</v>
      </c>
      <c r="B21" s="9" t="s">
        <v>98</v>
      </c>
      <c r="C21" s="25" t="s">
        <v>90</v>
      </c>
      <c r="D21" s="6" t="s">
        <v>9</v>
      </c>
      <c r="E21" s="24" t="s">
        <v>105</v>
      </c>
      <c r="F21" s="1" t="s">
        <v>0</v>
      </c>
      <c r="G21" s="3" t="str">
        <f t="shared" si="0"/>
        <v/>
      </c>
    </row>
    <row r="22" spans="1:7" ht="15" customHeight="1" x14ac:dyDescent="0.35">
      <c r="A22" s="10">
        <v>2021</v>
      </c>
      <c r="B22" s="9" t="s">
        <v>98</v>
      </c>
      <c r="C22" s="25" t="s">
        <v>90</v>
      </c>
      <c r="D22" s="6" t="s">
        <v>9</v>
      </c>
      <c r="E22" s="24" t="s">
        <v>109</v>
      </c>
      <c r="F22" s="1" t="s">
        <v>0</v>
      </c>
      <c r="G22" s="3" t="str">
        <f t="shared" ref="G22:G24" si="1">IF(OR(AND(F22&gt;1,F22&lt;&gt;"-")),"Can exchange","")</f>
        <v/>
      </c>
    </row>
    <row r="23" spans="1:7" ht="15" customHeight="1" x14ac:dyDescent="0.35">
      <c r="A23" s="10">
        <v>2022</v>
      </c>
      <c r="B23" s="9" t="s">
        <v>98</v>
      </c>
      <c r="C23" s="25" t="s">
        <v>90</v>
      </c>
      <c r="D23" s="6" t="s">
        <v>9</v>
      </c>
      <c r="E23" s="24" t="s">
        <v>112</v>
      </c>
      <c r="F23" s="1" t="s">
        <v>0</v>
      </c>
      <c r="G23" s="3" t="str">
        <f t="shared" si="1"/>
        <v/>
      </c>
    </row>
    <row r="24" spans="1:7" ht="15" customHeight="1" x14ac:dyDescent="0.35">
      <c r="A24" s="10">
        <v>2023</v>
      </c>
      <c r="B24" s="9" t="s">
        <v>98</v>
      </c>
      <c r="C24" s="25" t="s">
        <v>90</v>
      </c>
      <c r="D24" s="6" t="s">
        <v>9</v>
      </c>
      <c r="E24" s="24" t="s">
        <v>116</v>
      </c>
      <c r="F24" s="1" t="s">
        <v>0</v>
      </c>
      <c r="G24" s="3" t="str">
        <f t="shared" si="1"/>
        <v/>
      </c>
    </row>
    <row r="25" spans="1:7" ht="15" customHeight="1" x14ac:dyDescent="0.35">
      <c r="A25" s="10">
        <v>2024</v>
      </c>
      <c r="B25" s="9" t="s">
        <v>98</v>
      </c>
      <c r="C25" s="25" t="s">
        <v>90</v>
      </c>
      <c r="D25" s="6" t="s">
        <v>9</v>
      </c>
      <c r="E25" s="24" t="s">
        <v>126</v>
      </c>
      <c r="F25" s="1" t="s">
        <v>0</v>
      </c>
      <c r="G25" s="3" t="str">
        <f t="shared" ref="G25:G26" si="2">IF(OR(AND(F25&gt;1,F25&lt;&gt;"-")),"Can exchange","")</f>
        <v/>
      </c>
    </row>
    <row r="26" spans="1:7" ht="15" customHeight="1" x14ac:dyDescent="0.35">
      <c r="A26" s="10">
        <v>2025</v>
      </c>
      <c r="B26" s="9" t="s">
        <v>98</v>
      </c>
      <c r="C26" s="25" t="s">
        <v>90</v>
      </c>
      <c r="D26" s="6" t="s">
        <v>9</v>
      </c>
      <c r="E26" s="24" t="s">
        <v>125</v>
      </c>
      <c r="F26" s="1" t="s">
        <v>0</v>
      </c>
      <c r="G26" s="3" t="str">
        <f t="shared" si="2"/>
        <v/>
      </c>
    </row>
  </sheetData>
  <autoFilter ref="B2:E2" xr:uid="{00000000-0001-0000-0300-000000000000}"/>
  <mergeCells count="2">
    <mergeCell ref="A1:A2"/>
    <mergeCell ref="C1:D1"/>
  </mergeCells>
  <phoneticPr fontId="8" type="noConversion"/>
  <conditionalFormatting sqref="F3:F4 F8:F20 F6 F22 F24:F25">
    <cfRule type="containsText" dxfId="22" priority="9" operator="containsText" text="*-">
      <formula>NOT(ISERROR(SEARCH(("*-"),(F3))))</formula>
    </cfRule>
  </conditionalFormatting>
  <conditionalFormatting sqref="F3:F4 F8:F20 F6 F22 F24:F25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7">
    <cfRule type="containsText" dxfId="21" priority="7" operator="containsText" text="*-">
      <formula>NOT(ISERROR(SEARCH(("*-"),(F7))))</formula>
    </cfRule>
  </conditionalFormatting>
  <conditionalFormatting sqref="F7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5">
    <cfRule type="containsText" dxfId="20" priority="3" operator="containsText" text="*-">
      <formula>NOT(ISERROR(SEARCH(("*-"),(F5))))</formula>
    </cfRule>
  </conditionalFormatting>
  <conditionalFormatting sqref="F5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1 F23 F26">
    <cfRule type="containsText" dxfId="19" priority="1" operator="containsText" text="*-">
      <formula>NOT(ISERROR(SEARCH(("*-"),(F21))))</formula>
    </cfRule>
  </conditionalFormatting>
  <conditionalFormatting sqref="F21 F23 F26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6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G30" sqref="G30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4" width="33.6328125" style="4" customWidth="1"/>
    <col min="5" max="5" width="12.6328125" style="4" customWidth="1"/>
    <col min="6" max="6" width="3.6328125" style="4" customWidth="1"/>
    <col min="7" max="7" width="12.6328125" style="4" customWidth="1"/>
  </cols>
  <sheetData>
    <row r="1" spans="1:9" ht="15" customHeight="1" x14ac:dyDescent="0.35">
      <c r="A1" s="32" t="s">
        <v>1</v>
      </c>
      <c r="B1" s="27"/>
      <c r="C1" s="30" t="s">
        <v>2</v>
      </c>
      <c r="D1" s="34"/>
      <c r="E1" s="8" t="s">
        <v>3</v>
      </c>
      <c r="F1" s="23" t="s">
        <v>10</v>
      </c>
      <c r="G1" s="2"/>
    </row>
    <row r="2" spans="1:9" ht="15" customHeight="1" x14ac:dyDescent="0.35">
      <c r="A2" s="33"/>
      <c r="B2" s="27" t="s">
        <v>121</v>
      </c>
      <c r="C2" s="7" t="s">
        <v>122</v>
      </c>
      <c r="D2" s="7" t="s">
        <v>124</v>
      </c>
      <c r="E2" s="9" t="s">
        <v>28</v>
      </c>
      <c r="F2" s="7" t="s">
        <v>28</v>
      </c>
      <c r="G2" s="2"/>
    </row>
    <row r="3" spans="1:9" ht="15" customHeight="1" x14ac:dyDescent="0.35">
      <c r="A3" s="10">
        <v>2002</v>
      </c>
      <c r="B3" s="11" t="s">
        <v>99</v>
      </c>
      <c r="C3" s="25" t="s">
        <v>90</v>
      </c>
      <c r="D3" s="6" t="s">
        <v>8</v>
      </c>
      <c r="E3" s="13" t="s">
        <v>53</v>
      </c>
      <c r="F3" s="1">
        <v>0</v>
      </c>
      <c r="G3" s="3" t="str">
        <f t="shared" ref="G3:G21" si="0">IF(OR(AND(F3&gt;1,F3&lt;&gt;"-")),"Can exchange","")</f>
        <v/>
      </c>
      <c r="I3" s="5"/>
    </row>
    <row r="4" spans="1:9" ht="15" customHeight="1" x14ac:dyDescent="0.35">
      <c r="A4" s="10">
        <v>2003</v>
      </c>
      <c r="B4" s="11" t="s">
        <v>99</v>
      </c>
      <c r="C4" s="25" t="s">
        <v>90</v>
      </c>
      <c r="D4" s="6" t="s">
        <v>8</v>
      </c>
      <c r="E4" s="13" t="s">
        <v>54</v>
      </c>
      <c r="F4" s="1">
        <v>0</v>
      </c>
      <c r="G4" s="3" t="str">
        <f t="shared" si="0"/>
        <v/>
      </c>
      <c r="I4" s="5"/>
    </row>
    <row r="5" spans="1:9" ht="15" customHeight="1" x14ac:dyDescent="0.35">
      <c r="A5" s="10">
        <v>2004</v>
      </c>
      <c r="B5" s="11" t="s">
        <v>99</v>
      </c>
      <c r="C5" s="25" t="s">
        <v>90</v>
      </c>
      <c r="D5" s="6" t="s">
        <v>8</v>
      </c>
      <c r="E5" s="24" t="s">
        <v>30</v>
      </c>
      <c r="F5" s="1" t="s">
        <v>0</v>
      </c>
      <c r="G5" s="3" t="str">
        <f t="shared" si="0"/>
        <v/>
      </c>
    </row>
    <row r="6" spans="1:9" ht="15" customHeight="1" x14ac:dyDescent="0.35">
      <c r="A6" s="10">
        <v>2005</v>
      </c>
      <c r="B6" s="11" t="s">
        <v>99</v>
      </c>
      <c r="C6" s="25" t="s">
        <v>90</v>
      </c>
      <c r="D6" s="6" t="s">
        <v>8</v>
      </c>
      <c r="E6" s="13" t="s">
        <v>55</v>
      </c>
      <c r="F6" s="1">
        <v>0</v>
      </c>
      <c r="G6" s="3" t="str">
        <f t="shared" si="0"/>
        <v/>
      </c>
    </row>
    <row r="7" spans="1:9" ht="15" customHeight="1" x14ac:dyDescent="0.35">
      <c r="A7" s="10">
        <v>2006</v>
      </c>
      <c r="B7" s="11" t="s">
        <v>99</v>
      </c>
      <c r="C7" s="25" t="s">
        <v>90</v>
      </c>
      <c r="D7" s="6" t="s">
        <v>8</v>
      </c>
      <c r="E7" s="13" t="s">
        <v>30</v>
      </c>
      <c r="F7" s="1">
        <v>0</v>
      </c>
      <c r="G7" s="3" t="str">
        <f t="shared" si="0"/>
        <v/>
      </c>
    </row>
    <row r="8" spans="1:9" ht="15" customHeight="1" x14ac:dyDescent="0.35">
      <c r="A8" s="10">
        <v>2007</v>
      </c>
      <c r="B8" s="11" t="s">
        <v>99</v>
      </c>
      <c r="C8" s="25" t="s">
        <v>90</v>
      </c>
      <c r="D8" s="6" t="s">
        <v>8</v>
      </c>
      <c r="E8" s="13" t="s">
        <v>50</v>
      </c>
      <c r="F8" s="1" t="s">
        <v>0</v>
      </c>
      <c r="G8" s="3" t="str">
        <f t="shared" si="0"/>
        <v/>
      </c>
    </row>
    <row r="9" spans="1:9" ht="15" customHeight="1" x14ac:dyDescent="0.35">
      <c r="A9" s="10">
        <v>2008</v>
      </c>
      <c r="B9" s="11" t="s">
        <v>99</v>
      </c>
      <c r="C9" s="25" t="s">
        <v>90</v>
      </c>
      <c r="D9" s="6" t="s">
        <v>9</v>
      </c>
      <c r="E9" s="13" t="s">
        <v>56</v>
      </c>
      <c r="F9" s="1">
        <v>0</v>
      </c>
      <c r="G9" s="3" t="str">
        <f t="shared" si="0"/>
        <v/>
      </c>
    </row>
    <row r="10" spans="1:9" ht="15" customHeight="1" x14ac:dyDescent="0.35">
      <c r="A10" s="10">
        <v>2009</v>
      </c>
      <c r="B10" s="11" t="s">
        <v>99</v>
      </c>
      <c r="C10" s="25" t="s">
        <v>90</v>
      </c>
      <c r="D10" s="6" t="s">
        <v>9</v>
      </c>
      <c r="E10" s="24" t="s">
        <v>33</v>
      </c>
      <c r="F10" s="1" t="s">
        <v>0</v>
      </c>
      <c r="G10" s="3" t="str">
        <f t="shared" si="0"/>
        <v/>
      </c>
    </row>
    <row r="11" spans="1:9" ht="15" customHeight="1" x14ac:dyDescent="0.35">
      <c r="A11" s="10">
        <v>2010</v>
      </c>
      <c r="B11" s="11" t="s">
        <v>99</v>
      </c>
      <c r="C11" s="25" t="s">
        <v>90</v>
      </c>
      <c r="D11" s="6" t="s">
        <v>9</v>
      </c>
      <c r="E11" s="24" t="s">
        <v>34</v>
      </c>
      <c r="F11" s="1" t="s">
        <v>0</v>
      </c>
      <c r="G11" s="3" t="str">
        <f t="shared" si="0"/>
        <v/>
      </c>
    </row>
    <row r="12" spans="1:9" ht="15" customHeight="1" x14ac:dyDescent="0.35">
      <c r="A12" s="10">
        <v>2011</v>
      </c>
      <c r="B12" s="11" t="s">
        <v>99</v>
      </c>
      <c r="C12" s="25" t="s">
        <v>90</v>
      </c>
      <c r="D12" s="6" t="s">
        <v>9</v>
      </c>
      <c r="E12" s="24" t="s">
        <v>35</v>
      </c>
      <c r="F12" s="1" t="s">
        <v>0</v>
      </c>
      <c r="G12" s="3" t="str">
        <f t="shared" si="0"/>
        <v/>
      </c>
    </row>
    <row r="13" spans="1:9" ht="15" customHeight="1" x14ac:dyDescent="0.35">
      <c r="A13" s="10">
        <v>2012</v>
      </c>
      <c r="B13" s="11" t="s">
        <v>99</v>
      </c>
      <c r="C13" s="25" t="s">
        <v>90</v>
      </c>
      <c r="D13" s="6" t="s">
        <v>9</v>
      </c>
      <c r="E13" s="24" t="s">
        <v>36</v>
      </c>
      <c r="F13" s="1" t="s">
        <v>0</v>
      </c>
      <c r="G13" s="3" t="str">
        <f t="shared" si="0"/>
        <v/>
      </c>
    </row>
    <row r="14" spans="1:9" ht="15" customHeight="1" x14ac:dyDescent="0.35">
      <c r="A14" s="10">
        <v>2013</v>
      </c>
      <c r="B14" s="11" t="s">
        <v>99</v>
      </c>
      <c r="C14" s="25" t="s">
        <v>90</v>
      </c>
      <c r="D14" s="6" t="s">
        <v>9</v>
      </c>
      <c r="E14" s="13" t="s">
        <v>57</v>
      </c>
      <c r="F14" s="1">
        <v>0</v>
      </c>
      <c r="G14" s="3" t="str">
        <f t="shared" si="0"/>
        <v/>
      </c>
    </row>
    <row r="15" spans="1:9" ht="15" customHeight="1" x14ac:dyDescent="0.35">
      <c r="A15" s="10">
        <v>2014</v>
      </c>
      <c r="B15" s="11" t="s">
        <v>99</v>
      </c>
      <c r="C15" s="25" t="s">
        <v>90</v>
      </c>
      <c r="D15" s="6" t="s">
        <v>9</v>
      </c>
      <c r="E15" s="24" t="s">
        <v>38</v>
      </c>
      <c r="F15" s="1" t="s">
        <v>0</v>
      </c>
      <c r="G15" s="3" t="str">
        <f t="shared" si="0"/>
        <v/>
      </c>
    </row>
    <row r="16" spans="1:9" ht="15" customHeight="1" x14ac:dyDescent="0.35">
      <c r="A16" s="10">
        <v>2015</v>
      </c>
      <c r="B16" s="11" t="s">
        <v>99</v>
      </c>
      <c r="C16" s="25" t="s">
        <v>90</v>
      </c>
      <c r="D16" s="6" t="s">
        <v>9</v>
      </c>
      <c r="E16" s="13" t="s">
        <v>58</v>
      </c>
      <c r="F16" s="1">
        <v>0</v>
      </c>
      <c r="G16" s="3" t="str">
        <f t="shared" si="0"/>
        <v/>
      </c>
    </row>
    <row r="17" spans="1:7" ht="15" customHeight="1" x14ac:dyDescent="0.35">
      <c r="A17" s="10">
        <v>2016</v>
      </c>
      <c r="B17" s="11" t="s">
        <v>99</v>
      </c>
      <c r="C17" s="25" t="s">
        <v>90</v>
      </c>
      <c r="D17" s="6" t="s">
        <v>9</v>
      </c>
      <c r="E17" s="13" t="s">
        <v>59</v>
      </c>
      <c r="F17" s="1">
        <v>0</v>
      </c>
      <c r="G17" s="3" t="str">
        <f t="shared" si="0"/>
        <v/>
      </c>
    </row>
    <row r="18" spans="1:7" ht="15" customHeight="1" x14ac:dyDescent="0.35">
      <c r="A18" s="10">
        <v>2017</v>
      </c>
      <c r="B18" s="11" t="s">
        <v>100</v>
      </c>
      <c r="C18" s="25" t="s">
        <v>90</v>
      </c>
      <c r="D18" s="6" t="s">
        <v>9</v>
      </c>
      <c r="E18" s="13" t="s">
        <v>60</v>
      </c>
      <c r="F18" s="1">
        <v>0</v>
      </c>
      <c r="G18" s="3" t="str">
        <f t="shared" si="0"/>
        <v/>
      </c>
    </row>
    <row r="19" spans="1:7" ht="15" customHeight="1" x14ac:dyDescent="0.35">
      <c r="A19" s="10">
        <v>2018</v>
      </c>
      <c r="B19" s="11" t="s">
        <v>100</v>
      </c>
      <c r="C19" s="25" t="s">
        <v>90</v>
      </c>
      <c r="D19" s="6" t="s">
        <v>9</v>
      </c>
      <c r="E19" s="13" t="s">
        <v>61</v>
      </c>
      <c r="F19" s="1">
        <v>0</v>
      </c>
      <c r="G19" s="3" t="str">
        <f t="shared" si="0"/>
        <v/>
      </c>
    </row>
    <row r="20" spans="1:7" ht="15" customHeight="1" x14ac:dyDescent="0.35">
      <c r="A20" s="10">
        <v>2019</v>
      </c>
      <c r="B20" s="11" t="s">
        <v>100</v>
      </c>
      <c r="C20" s="25" t="s">
        <v>90</v>
      </c>
      <c r="D20" s="6" t="s">
        <v>9</v>
      </c>
      <c r="E20" s="24" t="s">
        <v>43</v>
      </c>
      <c r="F20" s="1" t="s">
        <v>0</v>
      </c>
      <c r="G20" s="3" t="str">
        <f t="shared" si="0"/>
        <v/>
      </c>
    </row>
    <row r="21" spans="1:7" ht="15" customHeight="1" x14ac:dyDescent="0.35">
      <c r="A21" s="10">
        <v>2020</v>
      </c>
      <c r="B21" s="11" t="s">
        <v>100</v>
      </c>
      <c r="C21" s="25" t="s">
        <v>90</v>
      </c>
      <c r="D21" s="6" t="s">
        <v>9</v>
      </c>
      <c r="E21" s="24" t="s">
        <v>105</v>
      </c>
      <c r="F21" s="1" t="s">
        <v>0</v>
      </c>
      <c r="G21" s="3" t="str">
        <f t="shared" si="0"/>
        <v/>
      </c>
    </row>
    <row r="22" spans="1:7" ht="15" customHeight="1" x14ac:dyDescent="0.35">
      <c r="A22" s="10">
        <v>2021</v>
      </c>
      <c r="B22" s="11" t="s">
        <v>100</v>
      </c>
      <c r="C22" s="25" t="s">
        <v>90</v>
      </c>
      <c r="D22" s="6" t="s">
        <v>9</v>
      </c>
      <c r="E22" s="24" t="s">
        <v>109</v>
      </c>
      <c r="F22" s="1" t="s">
        <v>0</v>
      </c>
      <c r="G22" s="3" t="str">
        <f t="shared" ref="G22:G25" si="1">IF(OR(AND(F22&gt;1,F22&lt;&gt;"-")),"Can exchange","")</f>
        <v/>
      </c>
    </row>
    <row r="23" spans="1:7" ht="15" customHeight="1" x14ac:dyDescent="0.35">
      <c r="A23" s="10">
        <v>2022</v>
      </c>
      <c r="B23" s="11" t="s">
        <v>100</v>
      </c>
      <c r="C23" s="25" t="s">
        <v>90</v>
      </c>
      <c r="D23" s="6" t="s">
        <v>9</v>
      </c>
      <c r="E23" s="24" t="s">
        <v>112</v>
      </c>
      <c r="F23" s="1" t="s">
        <v>0</v>
      </c>
      <c r="G23" s="3" t="str">
        <f t="shared" si="1"/>
        <v/>
      </c>
    </row>
    <row r="24" spans="1:7" ht="15" customHeight="1" x14ac:dyDescent="0.35">
      <c r="A24" s="10">
        <v>2023</v>
      </c>
      <c r="B24" s="11" t="s">
        <v>100</v>
      </c>
      <c r="C24" s="25" t="s">
        <v>90</v>
      </c>
      <c r="D24" s="6" t="s">
        <v>9</v>
      </c>
      <c r="E24" s="13" t="s">
        <v>117</v>
      </c>
      <c r="F24" s="1">
        <v>0</v>
      </c>
      <c r="G24" s="3" t="str">
        <f t="shared" si="1"/>
        <v/>
      </c>
    </row>
    <row r="25" spans="1:7" ht="15" customHeight="1" x14ac:dyDescent="0.35">
      <c r="A25" s="10">
        <v>2024</v>
      </c>
      <c r="B25" s="11" t="s">
        <v>100</v>
      </c>
      <c r="C25" s="25" t="s">
        <v>90</v>
      </c>
      <c r="D25" s="6" t="s">
        <v>9</v>
      </c>
      <c r="E25" s="13" t="s">
        <v>128</v>
      </c>
      <c r="F25" s="1">
        <v>1</v>
      </c>
      <c r="G25" s="3" t="str">
        <f t="shared" si="1"/>
        <v/>
      </c>
    </row>
    <row r="26" spans="1:7" ht="15" customHeight="1" x14ac:dyDescent="0.35">
      <c r="A26" s="10">
        <v>2025</v>
      </c>
      <c r="B26" s="11" t="s">
        <v>100</v>
      </c>
      <c r="C26" s="25" t="s">
        <v>90</v>
      </c>
      <c r="D26" s="6" t="s">
        <v>9</v>
      </c>
      <c r="E26" s="13" t="s">
        <v>127</v>
      </c>
      <c r="F26" s="1">
        <v>1</v>
      </c>
      <c r="G26" s="3" t="str">
        <f t="shared" ref="G26" si="2">IF(OR(AND(F26&gt;1,F26&lt;&gt;"-")),"Can exchange","")</f>
        <v/>
      </c>
    </row>
  </sheetData>
  <autoFilter ref="B2:E2" xr:uid="{00000000-0001-0000-0400-000000000000}"/>
  <mergeCells count="2">
    <mergeCell ref="A1:A2"/>
    <mergeCell ref="C1:D1"/>
  </mergeCells>
  <phoneticPr fontId="8" type="noConversion"/>
  <conditionalFormatting sqref="F3:F20 F22 F24">
    <cfRule type="containsText" dxfId="18" priority="9" operator="containsText" text="*-">
      <formula>NOT(ISERROR(SEARCH(("*-"),(F3))))</formula>
    </cfRule>
  </conditionalFormatting>
  <conditionalFormatting sqref="F3:F20 F22 F24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1 F23">
    <cfRule type="containsText" dxfId="17" priority="7" operator="containsText" text="*-">
      <formula>NOT(ISERROR(SEARCH(("*-"),(F21))))</formula>
    </cfRule>
  </conditionalFormatting>
  <conditionalFormatting sqref="F21 F23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5">
    <cfRule type="containsText" dxfId="16" priority="5" operator="containsText" text="*-">
      <formula>NOT(ISERROR(SEARCH(("*-"),(F25))))</formula>
    </cfRule>
  </conditionalFormatting>
  <conditionalFormatting sqref="F25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6">
    <cfRule type="containsText" dxfId="15" priority="1" operator="containsText" text="*-">
      <formula>NOT(ISERROR(SEARCH(("*-"),(F26))))</formula>
    </cfRule>
  </conditionalFormatting>
  <conditionalFormatting sqref="F26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6"/>
  <sheetViews>
    <sheetView tabSelected="1"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I39" sqref="I39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4" width="33.6328125" style="4" customWidth="1"/>
    <col min="5" max="5" width="12.6328125" style="4" customWidth="1"/>
    <col min="6" max="6" width="3.6328125" style="4" customWidth="1"/>
    <col min="7" max="7" width="12.6328125" style="4" customWidth="1"/>
  </cols>
  <sheetData>
    <row r="1" spans="1:9" ht="15" customHeight="1" x14ac:dyDescent="0.35">
      <c r="A1" s="32" t="s">
        <v>1</v>
      </c>
      <c r="B1" s="27"/>
      <c r="C1" s="30" t="s">
        <v>2</v>
      </c>
      <c r="D1" s="34"/>
      <c r="E1" s="8" t="s">
        <v>3</v>
      </c>
      <c r="F1" s="22" t="s">
        <v>11</v>
      </c>
      <c r="G1" s="2"/>
    </row>
    <row r="2" spans="1:9" ht="15" customHeight="1" x14ac:dyDescent="0.35">
      <c r="A2" s="33"/>
      <c r="B2" s="27" t="s">
        <v>121</v>
      </c>
      <c r="C2" s="7" t="s">
        <v>122</v>
      </c>
      <c r="D2" s="7" t="s">
        <v>124</v>
      </c>
      <c r="E2" s="9" t="s">
        <v>28</v>
      </c>
      <c r="F2" s="7" t="s">
        <v>28</v>
      </c>
      <c r="G2" s="2"/>
    </row>
    <row r="3" spans="1:9" ht="15" customHeight="1" x14ac:dyDescent="0.35">
      <c r="A3" s="10">
        <v>2002</v>
      </c>
      <c r="B3" s="11" t="s">
        <v>101</v>
      </c>
      <c r="C3" s="25" t="s">
        <v>90</v>
      </c>
      <c r="D3" s="6" t="s">
        <v>8</v>
      </c>
      <c r="E3" s="13" t="s">
        <v>59</v>
      </c>
      <c r="F3" s="1">
        <v>0</v>
      </c>
      <c r="G3" s="3" t="str">
        <f t="shared" ref="G3:G20" si="0">IF(OR(AND(F3&gt;1,F3&lt;&gt;"-")),"Can exchange","")</f>
        <v/>
      </c>
      <c r="I3" s="5"/>
    </row>
    <row r="4" spans="1:9" ht="15" customHeight="1" x14ac:dyDescent="0.35">
      <c r="A4" s="10">
        <v>2003</v>
      </c>
      <c r="B4" s="11" t="s">
        <v>101</v>
      </c>
      <c r="C4" s="25" t="s">
        <v>90</v>
      </c>
      <c r="D4" s="6" t="s">
        <v>8</v>
      </c>
      <c r="E4" s="13" t="s">
        <v>62</v>
      </c>
      <c r="F4" s="1">
        <v>0</v>
      </c>
      <c r="G4" s="3" t="str">
        <f t="shared" si="0"/>
        <v/>
      </c>
      <c r="I4" s="5"/>
    </row>
    <row r="5" spans="1:9" ht="15" customHeight="1" x14ac:dyDescent="0.35">
      <c r="A5" s="10">
        <v>2004</v>
      </c>
      <c r="B5" s="11" t="s">
        <v>101</v>
      </c>
      <c r="C5" s="25" t="s">
        <v>90</v>
      </c>
      <c r="D5" s="6" t="s">
        <v>8</v>
      </c>
      <c r="E5" s="24" t="s">
        <v>30</v>
      </c>
      <c r="F5" s="1" t="s">
        <v>0</v>
      </c>
      <c r="G5" s="3" t="str">
        <f t="shared" si="0"/>
        <v/>
      </c>
    </row>
    <row r="6" spans="1:9" ht="15" customHeight="1" x14ac:dyDescent="0.35">
      <c r="A6" s="10">
        <v>2005</v>
      </c>
      <c r="B6" s="11" t="s">
        <v>101</v>
      </c>
      <c r="C6" s="25" t="s">
        <v>90</v>
      </c>
      <c r="D6" s="6" t="s">
        <v>8</v>
      </c>
      <c r="E6" s="13" t="s">
        <v>63</v>
      </c>
      <c r="F6" s="1">
        <v>0</v>
      </c>
      <c r="G6" s="3" t="str">
        <f t="shared" si="0"/>
        <v/>
      </c>
    </row>
    <row r="7" spans="1:9" ht="15" customHeight="1" x14ac:dyDescent="0.35">
      <c r="A7" s="10">
        <v>2006</v>
      </c>
      <c r="B7" s="11" t="s">
        <v>101</v>
      </c>
      <c r="C7" s="25" t="s">
        <v>90</v>
      </c>
      <c r="D7" s="6" t="s">
        <v>8</v>
      </c>
      <c r="E7" s="13" t="s">
        <v>64</v>
      </c>
      <c r="F7" s="1">
        <v>0</v>
      </c>
      <c r="G7" s="3" t="str">
        <f t="shared" si="0"/>
        <v/>
      </c>
    </row>
    <row r="8" spans="1:9" ht="15" customHeight="1" x14ac:dyDescent="0.35">
      <c r="A8" s="10">
        <v>2007</v>
      </c>
      <c r="B8" s="11" t="s">
        <v>101</v>
      </c>
      <c r="C8" s="25" t="s">
        <v>90</v>
      </c>
      <c r="D8" s="6" t="s">
        <v>8</v>
      </c>
      <c r="E8" s="13" t="s">
        <v>65</v>
      </c>
      <c r="F8" s="1">
        <v>0</v>
      </c>
      <c r="G8" s="3" t="str">
        <f t="shared" si="0"/>
        <v/>
      </c>
    </row>
    <row r="9" spans="1:9" ht="15" customHeight="1" x14ac:dyDescent="0.35">
      <c r="A9" s="10">
        <v>2008</v>
      </c>
      <c r="B9" s="11" t="s">
        <v>101</v>
      </c>
      <c r="C9" s="25" t="s">
        <v>90</v>
      </c>
      <c r="D9" s="6" t="s">
        <v>9</v>
      </c>
      <c r="E9" s="13" t="s">
        <v>66</v>
      </c>
      <c r="F9" s="1">
        <v>0</v>
      </c>
      <c r="G9" s="3" t="str">
        <f t="shared" si="0"/>
        <v/>
      </c>
    </row>
    <row r="10" spans="1:9" ht="15" customHeight="1" x14ac:dyDescent="0.35">
      <c r="A10" s="10">
        <v>2009</v>
      </c>
      <c r="B10" s="11" t="s">
        <v>101</v>
      </c>
      <c r="C10" s="25" t="s">
        <v>90</v>
      </c>
      <c r="D10" s="6" t="s">
        <v>9</v>
      </c>
      <c r="E10" s="24" t="s">
        <v>33</v>
      </c>
      <c r="F10" s="1" t="s">
        <v>0</v>
      </c>
      <c r="G10" s="3" t="str">
        <f t="shared" si="0"/>
        <v/>
      </c>
    </row>
    <row r="11" spans="1:9" ht="15" customHeight="1" x14ac:dyDescent="0.35">
      <c r="A11" s="10">
        <v>2010</v>
      </c>
      <c r="B11" s="11" t="s">
        <v>101</v>
      </c>
      <c r="C11" s="25" t="s">
        <v>90</v>
      </c>
      <c r="D11" s="6" t="s">
        <v>9</v>
      </c>
      <c r="E11" s="24" t="s">
        <v>34</v>
      </c>
      <c r="F11" s="1" t="s">
        <v>0</v>
      </c>
      <c r="G11" s="3" t="str">
        <f t="shared" si="0"/>
        <v/>
      </c>
    </row>
    <row r="12" spans="1:9" ht="15" customHeight="1" x14ac:dyDescent="0.35">
      <c r="A12" s="10">
        <v>2011</v>
      </c>
      <c r="B12" s="11" t="s">
        <v>101</v>
      </c>
      <c r="C12" s="25" t="s">
        <v>90</v>
      </c>
      <c r="D12" s="6" t="s">
        <v>9</v>
      </c>
      <c r="E12" s="24" t="s">
        <v>35</v>
      </c>
      <c r="F12" s="1" t="s">
        <v>0</v>
      </c>
      <c r="G12" s="3" t="str">
        <f t="shared" si="0"/>
        <v/>
      </c>
    </row>
    <row r="13" spans="1:9" ht="15" customHeight="1" x14ac:dyDescent="0.35">
      <c r="A13" s="10">
        <v>2012</v>
      </c>
      <c r="B13" s="11" t="s">
        <v>101</v>
      </c>
      <c r="C13" s="25" t="s">
        <v>90</v>
      </c>
      <c r="D13" s="6" t="s">
        <v>9</v>
      </c>
      <c r="E13" s="13" t="s">
        <v>67</v>
      </c>
      <c r="F13" s="1">
        <v>0</v>
      </c>
      <c r="G13" s="3" t="str">
        <f t="shared" si="0"/>
        <v/>
      </c>
    </row>
    <row r="14" spans="1:9" ht="15" customHeight="1" x14ac:dyDescent="0.35">
      <c r="A14" s="10">
        <v>2013</v>
      </c>
      <c r="B14" s="11" t="s">
        <v>101</v>
      </c>
      <c r="C14" s="25" t="s">
        <v>90</v>
      </c>
      <c r="D14" s="6" t="s">
        <v>9</v>
      </c>
      <c r="E14" s="13" t="s">
        <v>68</v>
      </c>
      <c r="F14" s="1">
        <v>0</v>
      </c>
      <c r="G14" s="3" t="str">
        <f t="shared" si="0"/>
        <v/>
      </c>
    </row>
    <row r="15" spans="1:9" ht="15" customHeight="1" x14ac:dyDescent="0.35">
      <c r="A15" s="10">
        <v>2014</v>
      </c>
      <c r="B15" s="11" t="s">
        <v>101</v>
      </c>
      <c r="C15" s="25" t="s">
        <v>90</v>
      </c>
      <c r="D15" s="6" t="s">
        <v>9</v>
      </c>
      <c r="E15" s="13" t="s">
        <v>69</v>
      </c>
      <c r="F15" s="1">
        <v>0</v>
      </c>
      <c r="G15" s="3" t="str">
        <f t="shared" si="0"/>
        <v/>
      </c>
    </row>
    <row r="16" spans="1:9" ht="15" customHeight="1" x14ac:dyDescent="0.35">
      <c r="A16" s="10">
        <v>2015</v>
      </c>
      <c r="B16" s="11" t="s">
        <v>101</v>
      </c>
      <c r="C16" s="25" t="s">
        <v>90</v>
      </c>
      <c r="D16" s="6" t="s">
        <v>9</v>
      </c>
      <c r="E16" s="13" t="s">
        <v>70</v>
      </c>
      <c r="F16" s="1">
        <v>0</v>
      </c>
      <c r="G16" s="3" t="str">
        <f t="shared" si="0"/>
        <v/>
      </c>
    </row>
    <row r="17" spans="1:7" ht="15" customHeight="1" x14ac:dyDescent="0.35">
      <c r="A17" s="10">
        <v>2016</v>
      </c>
      <c r="B17" s="11" t="s">
        <v>101</v>
      </c>
      <c r="C17" s="25" t="s">
        <v>90</v>
      </c>
      <c r="D17" s="6" t="s">
        <v>9</v>
      </c>
      <c r="E17" s="24" t="s">
        <v>40</v>
      </c>
      <c r="F17" s="1" t="s">
        <v>0</v>
      </c>
      <c r="G17" s="3" t="str">
        <f t="shared" si="0"/>
        <v/>
      </c>
    </row>
    <row r="18" spans="1:7" ht="15" customHeight="1" x14ac:dyDescent="0.35">
      <c r="A18" s="10">
        <v>2017</v>
      </c>
      <c r="B18" s="9" t="s">
        <v>102</v>
      </c>
      <c r="C18" s="25" t="s">
        <v>90</v>
      </c>
      <c r="D18" s="6" t="s">
        <v>9</v>
      </c>
      <c r="E18" s="24" t="s">
        <v>41</v>
      </c>
      <c r="F18" s="1" t="s">
        <v>0</v>
      </c>
      <c r="G18" s="3" t="str">
        <f t="shared" si="0"/>
        <v/>
      </c>
    </row>
    <row r="19" spans="1:7" ht="15" customHeight="1" x14ac:dyDescent="0.35">
      <c r="A19" s="10">
        <v>2018</v>
      </c>
      <c r="B19" s="9" t="s">
        <v>102</v>
      </c>
      <c r="C19" s="25" t="s">
        <v>90</v>
      </c>
      <c r="D19" s="6" t="s">
        <v>9</v>
      </c>
      <c r="E19" s="13" t="s">
        <v>71</v>
      </c>
      <c r="F19" s="1">
        <v>0</v>
      </c>
      <c r="G19" s="3" t="str">
        <f t="shared" si="0"/>
        <v/>
      </c>
    </row>
    <row r="20" spans="1:7" ht="15" customHeight="1" x14ac:dyDescent="0.35">
      <c r="A20" s="10">
        <v>2019</v>
      </c>
      <c r="B20" s="9" t="s">
        <v>102</v>
      </c>
      <c r="C20" s="25" t="s">
        <v>90</v>
      </c>
      <c r="D20" s="6" t="s">
        <v>9</v>
      </c>
      <c r="E20" s="13" t="s">
        <v>72</v>
      </c>
      <c r="F20" s="1">
        <v>0</v>
      </c>
      <c r="G20" s="3" t="str">
        <f t="shared" si="0"/>
        <v/>
      </c>
    </row>
    <row r="21" spans="1:7" ht="15" customHeight="1" x14ac:dyDescent="0.35">
      <c r="A21" s="10">
        <v>2020</v>
      </c>
      <c r="B21" s="9" t="s">
        <v>102</v>
      </c>
      <c r="C21" s="25" t="s">
        <v>90</v>
      </c>
      <c r="D21" s="6" t="s">
        <v>9</v>
      </c>
      <c r="E21" s="13" t="s">
        <v>106</v>
      </c>
      <c r="F21" s="1">
        <v>0</v>
      </c>
      <c r="G21" s="3" t="str">
        <f t="shared" ref="G21:G22" si="1">IF(OR(AND(F21&gt;1,F21&lt;&gt;"-")),"Can exchange","")</f>
        <v/>
      </c>
    </row>
    <row r="22" spans="1:7" ht="15" customHeight="1" x14ac:dyDescent="0.35">
      <c r="A22" s="10">
        <v>2021</v>
      </c>
      <c r="B22" s="9" t="s">
        <v>102</v>
      </c>
      <c r="C22" s="25" t="s">
        <v>90</v>
      </c>
      <c r="D22" s="6" t="s">
        <v>9</v>
      </c>
      <c r="E22" s="24" t="s">
        <v>109</v>
      </c>
      <c r="F22" s="1" t="s">
        <v>0</v>
      </c>
      <c r="G22" s="3" t="str">
        <f t="shared" si="1"/>
        <v/>
      </c>
    </row>
    <row r="23" spans="1:7" ht="15" customHeight="1" x14ac:dyDescent="0.35">
      <c r="A23" s="10">
        <v>2022</v>
      </c>
      <c r="B23" s="9" t="s">
        <v>102</v>
      </c>
      <c r="C23" s="25" t="s">
        <v>90</v>
      </c>
      <c r="D23" s="6" t="s">
        <v>9</v>
      </c>
      <c r="E23" s="13" t="s">
        <v>113</v>
      </c>
      <c r="F23" s="1">
        <v>0</v>
      </c>
      <c r="G23" s="3" t="str">
        <f t="shared" ref="G23:G24" si="2">IF(OR(AND(F23&gt;1,F23&lt;&gt;"-")),"Can exchange","")</f>
        <v/>
      </c>
    </row>
    <row r="24" spans="1:7" ht="15" customHeight="1" x14ac:dyDescent="0.35">
      <c r="A24" s="10">
        <v>2023</v>
      </c>
      <c r="B24" s="9" t="s">
        <v>102</v>
      </c>
      <c r="C24" s="25" t="s">
        <v>90</v>
      </c>
      <c r="D24" s="6" t="s">
        <v>9</v>
      </c>
      <c r="E24" s="13" t="s">
        <v>118</v>
      </c>
      <c r="F24" s="1">
        <v>0</v>
      </c>
      <c r="G24" s="3" t="str">
        <f t="shared" si="2"/>
        <v/>
      </c>
    </row>
    <row r="25" spans="1:7" ht="15" customHeight="1" x14ac:dyDescent="0.35">
      <c r="A25" s="10">
        <v>2024</v>
      </c>
      <c r="B25" s="9" t="s">
        <v>102</v>
      </c>
      <c r="C25" s="25" t="s">
        <v>90</v>
      </c>
      <c r="D25" s="6" t="s">
        <v>9</v>
      </c>
      <c r="E25" s="13" t="s">
        <v>129</v>
      </c>
      <c r="F25" s="1">
        <v>1</v>
      </c>
      <c r="G25" s="3" t="str">
        <f t="shared" ref="G25" si="3">IF(OR(AND(F25&gt;1,F25&lt;&gt;"-")),"Can exchange","")</f>
        <v/>
      </c>
    </row>
    <row r="26" spans="1:7" ht="15" customHeight="1" x14ac:dyDescent="0.35">
      <c r="A26" s="10">
        <v>2025</v>
      </c>
      <c r="B26" s="9" t="s">
        <v>102</v>
      </c>
      <c r="C26" s="25" t="s">
        <v>90</v>
      </c>
      <c r="D26" s="6" t="s">
        <v>9</v>
      </c>
      <c r="E26" s="13" t="s">
        <v>130</v>
      </c>
      <c r="F26" s="1">
        <v>1</v>
      </c>
      <c r="G26" s="3" t="str">
        <f t="shared" ref="G26" si="4">IF(OR(AND(F26&gt;1,F26&lt;&gt;"-")),"Can exchange","")</f>
        <v/>
      </c>
    </row>
  </sheetData>
  <autoFilter ref="B2:E2" xr:uid="{00000000-0001-0000-0500-000000000000}"/>
  <mergeCells count="2">
    <mergeCell ref="A1:A2"/>
    <mergeCell ref="C1:D1"/>
  </mergeCells>
  <phoneticPr fontId="8" type="noConversion"/>
  <conditionalFormatting sqref="F3:F20 F24 F22">
    <cfRule type="containsText" dxfId="14" priority="7" operator="containsText" text="*-">
      <formula>NOT(ISERROR(SEARCH(("*-"),(F3))))</formula>
    </cfRule>
  </conditionalFormatting>
  <conditionalFormatting sqref="F3:F20 F24 F22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1 F23">
    <cfRule type="containsText" dxfId="13" priority="5" operator="containsText" text="*-">
      <formula>NOT(ISERROR(SEARCH(("*-"),(F21))))</formula>
    </cfRule>
  </conditionalFormatting>
  <conditionalFormatting sqref="F21 F23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5">
    <cfRule type="containsText" dxfId="12" priority="3" operator="containsText" text="*-">
      <formula>NOT(ISERROR(SEARCH(("*-"),(F25))))</formula>
    </cfRule>
  </conditionalFormatting>
  <conditionalFormatting sqref="F25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6">
    <cfRule type="containsText" dxfId="11" priority="1" operator="containsText" text="*-">
      <formula>NOT(ISERROR(SEARCH(("*-"),(F26))))</formula>
    </cfRule>
  </conditionalFormatting>
  <conditionalFormatting sqref="F26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26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H32" sqref="H32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4" width="33.6328125" style="4" customWidth="1"/>
    <col min="5" max="5" width="12.6328125" style="4" customWidth="1"/>
    <col min="6" max="6" width="3.6328125" style="4" customWidth="1"/>
    <col min="7" max="7" width="12.6328125" style="4" customWidth="1"/>
  </cols>
  <sheetData>
    <row r="1" spans="1:9" ht="15" customHeight="1" x14ac:dyDescent="0.35">
      <c r="A1" s="32" t="s">
        <v>1</v>
      </c>
      <c r="B1" s="27"/>
      <c r="C1" s="30" t="s">
        <v>2</v>
      </c>
      <c r="D1" s="34"/>
      <c r="E1" s="8" t="s">
        <v>3</v>
      </c>
      <c r="F1" s="22" t="s">
        <v>12</v>
      </c>
      <c r="G1" s="2"/>
    </row>
    <row r="2" spans="1:9" ht="15" customHeight="1" x14ac:dyDescent="0.35">
      <c r="A2" s="33"/>
      <c r="B2" s="27" t="s">
        <v>121</v>
      </c>
      <c r="C2" s="7" t="s">
        <v>122</v>
      </c>
      <c r="D2" s="7" t="s">
        <v>124</v>
      </c>
      <c r="E2" s="9" t="s">
        <v>28</v>
      </c>
      <c r="F2" s="7" t="s">
        <v>28</v>
      </c>
      <c r="G2" s="2"/>
    </row>
    <row r="3" spans="1:9" ht="15" customHeight="1" x14ac:dyDescent="0.35">
      <c r="A3" s="10">
        <v>2002</v>
      </c>
      <c r="B3" s="11" t="s">
        <v>92</v>
      </c>
      <c r="C3" s="25" t="s">
        <v>90</v>
      </c>
      <c r="D3" s="6" t="s">
        <v>8</v>
      </c>
      <c r="E3" s="13" t="s">
        <v>73</v>
      </c>
      <c r="F3" s="1">
        <v>0</v>
      </c>
      <c r="G3" s="3" t="str">
        <f t="shared" ref="G3:G21" si="0">IF(OR(AND(F3&gt;1,F3&lt;&gt;"-")),"Can exchange","")</f>
        <v/>
      </c>
      <c r="I3" s="5"/>
    </row>
    <row r="4" spans="1:9" ht="15" customHeight="1" x14ac:dyDescent="0.35">
      <c r="A4" s="10">
        <v>2003</v>
      </c>
      <c r="B4" s="11" t="s">
        <v>92</v>
      </c>
      <c r="C4" s="25" t="s">
        <v>90</v>
      </c>
      <c r="D4" s="6" t="s">
        <v>8</v>
      </c>
      <c r="E4" s="24" t="s">
        <v>30</v>
      </c>
      <c r="F4" s="1" t="s">
        <v>0</v>
      </c>
      <c r="G4" s="3" t="str">
        <f t="shared" si="0"/>
        <v/>
      </c>
      <c r="H4" s="14"/>
      <c r="I4" s="5"/>
    </row>
    <row r="5" spans="1:9" ht="15" customHeight="1" x14ac:dyDescent="0.35">
      <c r="A5" s="10">
        <v>2004</v>
      </c>
      <c r="B5" s="11" t="s">
        <v>92</v>
      </c>
      <c r="C5" s="25" t="s">
        <v>90</v>
      </c>
      <c r="D5" s="6" t="s">
        <v>8</v>
      </c>
      <c r="E5" s="13" t="s">
        <v>49</v>
      </c>
      <c r="F5" s="1">
        <v>0</v>
      </c>
      <c r="G5" s="3" t="str">
        <f t="shared" si="0"/>
        <v/>
      </c>
    </row>
    <row r="6" spans="1:9" ht="15" customHeight="1" x14ac:dyDescent="0.35">
      <c r="A6" s="10">
        <v>2005</v>
      </c>
      <c r="B6" s="11" t="s">
        <v>92</v>
      </c>
      <c r="C6" s="25" t="s">
        <v>90</v>
      </c>
      <c r="D6" s="6" t="s">
        <v>8</v>
      </c>
      <c r="E6" s="24" t="s">
        <v>30</v>
      </c>
      <c r="F6" s="1" t="s">
        <v>0</v>
      </c>
      <c r="G6" s="3" t="str">
        <f t="shared" si="0"/>
        <v/>
      </c>
    </row>
    <row r="7" spans="1:9" ht="15" customHeight="1" x14ac:dyDescent="0.35">
      <c r="A7" s="10">
        <v>2006</v>
      </c>
      <c r="B7" s="11" t="s">
        <v>92</v>
      </c>
      <c r="C7" s="25" t="s">
        <v>90</v>
      </c>
      <c r="D7" s="6" t="s">
        <v>8</v>
      </c>
      <c r="E7" s="13" t="s">
        <v>50</v>
      </c>
      <c r="F7" s="1">
        <v>0</v>
      </c>
      <c r="G7" s="3" t="str">
        <f t="shared" si="0"/>
        <v/>
      </c>
    </row>
    <row r="8" spans="1:9" ht="15" customHeight="1" x14ac:dyDescent="0.35">
      <c r="A8" s="10">
        <v>2007</v>
      </c>
      <c r="B8" s="11" t="s">
        <v>92</v>
      </c>
      <c r="C8" s="25" t="s">
        <v>90</v>
      </c>
      <c r="D8" s="6" t="s">
        <v>8</v>
      </c>
      <c r="E8" s="24" t="s">
        <v>30</v>
      </c>
      <c r="F8" s="1" t="s">
        <v>0</v>
      </c>
      <c r="G8" s="3" t="str">
        <f t="shared" si="0"/>
        <v/>
      </c>
    </row>
    <row r="9" spans="1:9" ht="15" customHeight="1" x14ac:dyDescent="0.35">
      <c r="A9" s="10">
        <v>2008</v>
      </c>
      <c r="B9" s="11" t="s">
        <v>92</v>
      </c>
      <c r="C9" s="25" t="s">
        <v>90</v>
      </c>
      <c r="D9" s="6" t="s">
        <v>9</v>
      </c>
      <c r="E9" s="24" t="s">
        <v>33</v>
      </c>
      <c r="F9" s="1" t="s">
        <v>0</v>
      </c>
      <c r="G9" s="3" t="str">
        <f t="shared" si="0"/>
        <v/>
      </c>
    </row>
    <row r="10" spans="1:9" ht="15" customHeight="1" x14ac:dyDescent="0.35">
      <c r="A10" s="10">
        <v>2009</v>
      </c>
      <c r="B10" s="11" t="s">
        <v>92</v>
      </c>
      <c r="C10" s="25" t="s">
        <v>90</v>
      </c>
      <c r="D10" s="6" t="s">
        <v>9</v>
      </c>
      <c r="E10" s="13" t="s">
        <v>74</v>
      </c>
      <c r="F10" s="1">
        <v>0</v>
      </c>
      <c r="G10" s="3" t="str">
        <f t="shared" si="0"/>
        <v/>
      </c>
    </row>
    <row r="11" spans="1:9" ht="15" customHeight="1" x14ac:dyDescent="0.35">
      <c r="A11" s="10">
        <v>2010</v>
      </c>
      <c r="B11" s="11" t="s">
        <v>92</v>
      </c>
      <c r="C11" s="25" t="s">
        <v>90</v>
      </c>
      <c r="D11" s="6" t="s">
        <v>9</v>
      </c>
      <c r="E11" s="13" t="s">
        <v>75</v>
      </c>
      <c r="F11" s="1">
        <v>0</v>
      </c>
      <c r="G11" s="3" t="str">
        <f t="shared" si="0"/>
        <v/>
      </c>
    </row>
    <row r="12" spans="1:9" ht="15" customHeight="1" x14ac:dyDescent="0.35">
      <c r="A12" s="10">
        <v>2011</v>
      </c>
      <c r="B12" s="11" t="s">
        <v>92</v>
      </c>
      <c r="C12" s="25" t="s">
        <v>90</v>
      </c>
      <c r="D12" s="6" t="s">
        <v>9</v>
      </c>
      <c r="E12" s="24" t="s">
        <v>35</v>
      </c>
      <c r="F12" s="1" t="s">
        <v>0</v>
      </c>
      <c r="G12" s="3" t="str">
        <f t="shared" si="0"/>
        <v/>
      </c>
    </row>
    <row r="13" spans="1:9" ht="15" customHeight="1" x14ac:dyDescent="0.35">
      <c r="A13" s="10">
        <v>2012</v>
      </c>
      <c r="B13" s="11" t="s">
        <v>92</v>
      </c>
      <c r="C13" s="25" t="s">
        <v>90</v>
      </c>
      <c r="D13" s="6" t="s">
        <v>9</v>
      </c>
      <c r="E13" s="13" t="s">
        <v>76</v>
      </c>
      <c r="F13" s="1">
        <v>0</v>
      </c>
      <c r="G13" s="3" t="str">
        <f t="shared" si="0"/>
        <v/>
      </c>
    </row>
    <row r="14" spans="1:9" ht="15" customHeight="1" x14ac:dyDescent="0.35">
      <c r="A14" s="10">
        <v>2013</v>
      </c>
      <c r="B14" s="11" t="s">
        <v>92</v>
      </c>
      <c r="C14" s="25" t="s">
        <v>90</v>
      </c>
      <c r="D14" s="6" t="s">
        <v>9</v>
      </c>
      <c r="E14" s="13" t="s">
        <v>77</v>
      </c>
      <c r="F14" s="1">
        <v>0</v>
      </c>
      <c r="G14" s="3" t="str">
        <f t="shared" si="0"/>
        <v/>
      </c>
    </row>
    <row r="15" spans="1:9" ht="15" customHeight="1" x14ac:dyDescent="0.35">
      <c r="A15" s="10">
        <v>2014</v>
      </c>
      <c r="B15" s="11" t="s">
        <v>92</v>
      </c>
      <c r="C15" s="25" t="s">
        <v>90</v>
      </c>
      <c r="D15" s="6" t="s">
        <v>9</v>
      </c>
      <c r="E15" s="13" t="s">
        <v>78</v>
      </c>
      <c r="F15" s="1">
        <v>0</v>
      </c>
      <c r="G15" s="3" t="str">
        <f t="shared" si="0"/>
        <v/>
      </c>
    </row>
    <row r="16" spans="1:9" ht="15" customHeight="1" x14ac:dyDescent="0.35">
      <c r="A16" s="10">
        <v>2015</v>
      </c>
      <c r="B16" s="11" t="s">
        <v>92</v>
      </c>
      <c r="C16" s="25" t="s">
        <v>90</v>
      </c>
      <c r="D16" s="6" t="s">
        <v>9</v>
      </c>
      <c r="E16" s="13" t="s">
        <v>79</v>
      </c>
      <c r="F16" s="1">
        <v>0</v>
      </c>
      <c r="G16" s="3" t="str">
        <f t="shared" si="0"/>
        <v/>
      </c>
    </row>
    <row r="17" spans="1:20" ht="15" customHeight="1" x14ac:dyDescent="0.35">
      <c r="A17" s="10">
        <v>2016</v>
      </c>
      <c r="B17" s="11" t="s">
        <v>92</v>
      </c>
      <c r="C17" s="25" t="s">
        <v>90</v>
      </c>
      <c r="D17" s="6" t="s">
        <v>9</v>
      </c>
      <c r="E17" s="24" t="s">
        <v>40</v>
      </c>
      <c r="F17" s="1" t="s">
        <v>0</v>
      </c>
      <c r="G17" s="3" t="str">
        <f t="shared" si="0"/>
        <v/>
      </c>
    </row>
    <row r="18" spans="1:20" ht="15" customHeight="1" x14ac:dyDescent="0.35">
      <c r="A18" s="10">
        <v>2017</v>
      </c>
      <c r="B18" s="11" t="s">
        <v>103</v>
      </c>
      <c r="C18" s="25" t="s">
        <v>90</v>
      </c>
      <c r="D18" s="6" t="s">
        <v>9</v>
      </c>
      <c r="E18" s="13" t="s">
        <v>80</v>
      </c>
      <c r="F18" s="1">
        <v>0</v>
      </c>
      <c r="G18" s="3" t="str">
        <f t="shared" si="0"/>
        <v/>
      </c>
    </row>
    <row r="19" spans="1:20" ht="15" customHeight="1" x14ac:dyDescent="0.35">
      <c r="A19" s="10">
        <v>2018</v>
      </c>
      <c r="B19" s="11" t="s">
        <v>103</v>
      </c>
      <c r="C19" s="25" t="s">
        <v>90</v>
      </c>
      <c r="D19" s="6" t="s">
        <v>9</v>
      </c>
      <c r="E19" s="13" t="s">
        <v>71</v>
      </c>
      <c r="F19" s="1">
        <v>0</v>
      </c>
      <c r="G19" s="3" t="str">
        <f t="shared" si="0"/>
        <v/>
      </c>
    </row>
    <row r="20" spans="1:20" ht="15" customHeight="1" x14ac:dyDescent="0.35">
      <c r="A20" s="10">
        <v>2019</v>
      </c>
      <c r="B20" s="11" t="s">
        <v>103</v>
      </c>
      <c r="C20" s="25" t="s">
        <v>90</v>
      </c>
      <c r="D20" s="6" t="s">
        <v>9</v>
      </c>
      <c r="E20" s="13" t="s">
        <v>81</v>
      </c>
      <c r="F20" s="1">
        <v>0</v>
      </c>
      <c r="G20" s="3" t="str">
        <f t="shared" si="0"/>
        <v/>
      </c>
    </row>
    <row r="21" spans="1:20" ht="15" customHeight="1" x14ac:dyDescent="0.35">
      <c r="A21" s="10">
        <v>2020</v>
      </c>
      <c r="B21" s="9" t="s">
        <v>102</v>
      </c>
      <c r="C21" s="25" t="s">
        <v>90</v>
      </c>
      <c r="D21" s="6" t="s">
        <v>9</v>
      </c>
      <c r="E21" s="13" t="s">
        <v>107</v>
      </c>
      <c r="F21" s="1">
        <v>0</v>
      </c>
      <c r="G21" s="3" t="str">
        <f t="shared" si="0"/>
        <v/>
      </c>
      <c r="T21" s="26"/>
    </row>
    <row r="22" spans="1:20" ht="15" customHeight="1" x14ac:dyDescent="0.35">
      <c r="A22" s="10">
        <v>2021</v>
      </c>
      <c r="B22" s="11" t="s">
        <v>103</v>
      </c>
      <c r="C22" s="25" t="s">
        <v>90</v>
      </c>
      <c r="D22" s="6" t="s">
        <v>9</v>
      </c>
      <c r="E22" s="13" t="s">
        <v>110</v>
      </c>
      <c r="F22" s="1">
        <v>0</v>
      </c>
      <c r="G22" s="3" t="str">
        <f t="shared" ref="G22:G24" si="1">IF(OR(AND(F22&gt;1,F22&lt;&gt;"-")),"Can exchange","")</f>
        <v/>
      </c>
    </row>
    <row r="23" spans="1:20" ht="15" customHeight="1" x14ac:dyDescent="0.35">
      <c r="A23" s="10">
        <v>2022</v>
      </c>
      <c r="B23" s="9" t="s">
        <v>102</v>
      </c>
      <c r="C23" s="25" t="s">
        <v>90</v>
      </c>
      <c r="D23" s="6" t="s">
        <v>9</v>
      </c>
      <c r="E23" s="13" t="s">
        <v>114</v>
      </c>
      <c r="F23" s="1">
        <v>0</v>
      </c>
      <c r="G23" s="3" t="str">
        <f t="shared" si="1"/>
        <v/>
      </c>
    </row>
    <row r="24" spans="1:20" ht="15" customHeight="1" x14ac:dyDescent="0.35">
      <c r="A24" s="10">
        <v>2023</v>
      </c>
      <c r="B24" s="11" t="s">
        <v>103</v>
      </c>
      <c r="C24" s="25" t="s">
        <v>90</v>
      </c>
      <c r="D24" s="6" t="s">
        <v>9</v>
      </c>
      <c r="E24" s="13" t="s">
        <v>119</v>
      </c>
      <c r="F24" s="1">
        <v>0</v>
      </c>
      <c r="G24" s="3" t="str">
        <f t="shared" si="1"/>
        <v/>
      </c>
    </row>
    <row r="25" spans="1:20" ht="15" customHeight="1" x14ac:dyDescent="0.35">
      <c r="A25" s="10">
        <v>2024</v>
      </c>
      <c r="B25" s="11" t="s">
        <v>103</v>
      </c>
      <c r="C25" s="25" t="s">
        <v>90</v>
      </c>
      <c r="D25" s="6" t="s">
        <v>9</v>
      </c>
      <c r="E25" s="13" t="s">
        <v>131</v>
      </c>
      <c r="F25" s="1">
        <v>2</v>
      </c>
    </row>
    <row r="26" spans="1:20" ht="15" customHeight="1" x14ac:dyDescent="0.35">
      <c r="A26" s="10">
        <v>2025</v>
      </c>
      <c r="B26" s="11" t="s">
        <v>103</v>
      </c>
      <c r="C26" s="25" t="s">
        <v>90</v>
      </c>
      <c r="D26" s="6" t="s">
        <v>9</v>
      </c>
      <c r="E26" s="13" t="s">
        <v>130</v>
      </c>
      <c r="F26" s="1">
        <v>1</v>
      </c>
    </row>
  </sheetData>
  <autoFilter ref="B2:E2" xr:uid="{00000000-0001-0000-0600-000000000000}"/>
  <mergeCells count="2">
    <mergeCell ref="A1:A2"/>
    <mergeCell ref="C1:D1"/>
  </mergeCells>
  <phoneticPr fontId="8" type="noConversion"/>
  <conditionalFormatting sqref="F3:F20 F22 F24">
    <cfRule type="containsText" dxfId="10" priority="7" operator="containsText" text="*-">
      <formula>NOT(ISERROR(SEARCH(("*-"),(F3))))</formula>
    </cfRule>
  </conditionalFormatting>
  <conditionalFormatting sqref="F3:F20 F22 F24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1 F23">
    <cfRule type="containsText" dxfId="9" priority="5" operator="containsText" text="*-">
      <formula>NOT(ISERROR(SEARCH(("*-"),(F21))))</formula>
    </cfRule>
  </conditionalFormatting>
  <conditionalFormatting sqref="F21 F23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5">
    <cfRule type="containsText" dxfId="8" priority="3" operator="containsText" text="*-">
      <formula>NOT(ISERROR(SEARCH(("*-"),(F25))))</formula>
    </cfRule>
  </conditionalFormatting>
  <conditionalFormatting sqref="F25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6">
    <cfRule type="containsText" dxfId="7" priority="1" operator="containsText" text="*-">
      <formula>NOT(ISERROR(SEARCH(("*-"),(F26))))</formula>
    </cfRule>
  </conditionalFormatting>
  <conditionalFormatting sqref="F26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26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G32" sqref="G32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4" width="33.6328125" style="4" customWidth="1"/>
    <col min="5" max="5" width="12.6328125" style="4" customWidth="1"/>
    <col min="6" max="6" width="3.6328125" style="4" customWidth="1"/>
    <col min="7" max="7" width="12.6328125" style="4" customWidth="1"/>
  </cols>
  <sheetData>
    <row r="1" spans="1:9" ht="15" customHeight="1" x14ac:dyDescent="0.35">
      <c r="A1" s="32" t="s">
        <v>1</v>
      </c>
      <c r="B1" s="27"/>
      <c r="C1" s="30" t="s">
        <v>2</v>
      </c>
      <c r="D1" s="34"/>
      <c r="E1" s="8" t="s">
        <v>3</v>
      </c>
      <c r="F1" s="22" t="s">
        <v>13</v>
      </c>
      <c r="G1" s="2"/>
    </row>
    <row r="2" spans="1:9" ht="15" customHeight="1" x14ac:dyDescent="0.35">
      <c r="A2" s="33"/>
      <c r="B2" s="27" t="s">
        <v>121</v>
      </c>
      <c r="C2" s="7" t="s">
        <v>122</v>
      </c>
      <c r="D2" s="7" t="s">
        <v>124</v>
      </c>
      <c r="E2" s="9" t="s">
        <v>28</v>
      </c>
      <c r="F2" s="7" t="s">
        <v>28</v>
      </c>
      <c r="G2" s="2"/>
    </row>
    <row r="3" spans="1:9" ht="15" customHeight="1" x14ac:dyDescent="0.35">
      <c r="A3" s="10">
        <v>2002</v>
      </c>
      <c r="B3" s="11" t="s">
        <v>104</v>
      </c>
      <c r="C3" s="25" t="s">
        <v>90</v>
      </c>
      <c r="D3" s="6" t="s">
        <v>8</v>
      </c>
      <c r="E3" s="13" t="s">
        <v>82</v>
      </c>
      <c r="F3" s="1">
        <v>0</v>
      </c>
      <c r="G3" s="3" t="str">
        <f t="shared" ref="G3:G21" si="0">IF(OR(AND(F3&gt;1,F3&lt;&gt;"-")),"Can exchange","")</f>
        <v/>
      </c>
      <c r="I3" s="5"/>
    </row>
    <row r="4" spans="1:9" ht="15" customHeight="1" x14ac:dyDescent="0.35">
      <c r="A4" s="10">
        <v>2003</v>
      </c>
      <c r="B4" s="11" t="s">
        <v>104</v>
      </c>
      <c r="C4" s="25" t="s">
        <v>90</v>
      </c>
      <c r="D4" s="6" t="s">
        <v>8</v>
      </c>
      <c r="E4" s="24" t="s">
        <v>30</v>
      </c>
      <c r="F4" s="1" t="s">
        <v>0</v>
      </c>
      <c r="G4" s="3" t="str">
        <f t="shared" si="0"/>
        <v/>
      </c>
      <c r="H4" s="14"/>
      <c r="I4" s="5"/>
    </row>
    <row r="5" spans="1:9" ht="15" customHeight="1" x14ac:dyDescent="0.35">
      <c r="A5" s="10">
        <v>2004</v>
      </c>
      <c r="B5" s="11" t="s">
        <v>104</v>
      </c>
      <c r="C5" s="25" t="s">
        <v>90</v>
      </c>
      <c r="D5" s="6" t="s">
        <v>8</v>
      </c>
      <c r="E5" s="24" t="s">
        <v>30</v>
      </c>
      <c r="F5" s="1" t="s">
        <v>0</v>
      </c>
      <c r="G5" s="3" t="str">
        <f t="shared" si="0"/>
        <v/>
      </c>
    </row>
    <row r="6" spans="1:9" ht="15" customHeight="1" x14ac:dyDescent="0.35">
      <c r="A6" s="10">
        <v>2005</v>
      </c>
      <c r="B6" s="11" t="s">
        <v>104</v>
      </c>
      <c r="C6" s="25" t="s">
        <v>90</v>
      </c>
      <c r="D6" s="6" t="s">
        <v>8</v>
      </c>
      <c r="E6" s="24" t="s">
        <v>45</v>
      </c>
      <c r="F6" s="1" t="s">
        <v>0</v>
      </c>
      <c r="G6" s="3" t="str">
        <f t="shared" si="0"/>
        <v/>
      </c>
    </row>
    <row r="7" spans="1:9" ht="15" customHeight="1" x14ac:dyDescent="0.35">
      <c r="A7" s="10">
        <v>2006</v>
      </c>
      <c r="B7" s="11" t="s">
        <v>104</v>
      </c>
      <c r="C7" s="25" t="s">
        <v>90</v>
      </c>
      <c r="D7" s="6" t="s">
        <v>8</v>
      </c>
      <c r="E7" s="13" t="s">
        <v>83</v>
      </c>
      <c r="F7" s="1">
        <v>0</v>
      </c>
      <c r="G7" s="3" t="str">
        <f t="shared" si="0"/>
        <v/>
      </c>
    </row>
    <row r="8" spans="1:9" ht="15" customHeight="1" x14ac:dyDescent="0.35">
      <c r="A8" s="10">
        <v>2007</v>
      </c>
      <c r="B8" s="11" t="s">
        <v>104</v>
      </c>
      <c r="C8" s="25" t="s">
        <v>90</v>
      </c>
      <c r="D8" s="6" t="s">
        <v>8</v>
      </c>
      <c r="E8" s="24" t="s">
        <v>50</v>
      </c>
      <c r="F8" s="1" t="s">
        <v>0</v>
      </c>
      <c r="G8" s="3" t="str">
        <f t="shared" si="0"/>
        <v/>
      </c>
    </row>
    <row r="9" spans="1:9" ht="15" customHeight="1" x14ac:dyDescent="0.35">
      <c r="A9" s="10">
        <v>2008</v>
      </c>
      <c r="B9" s="11" t="s">
        <v>104</v>
      </c>
      <c r="C9" s="25" t="s">
        <v>90</v>
      </c>
      <c r="D9" s="6" t="s">
        <v>9</v>
      </c>
      <c r="E9" s="24" t="s">
        <v>33</v>
      </c>
      <c r="F9" s="1" t="s">
        <v>0</v>
      </c>
      <c r="G9" s="3" t="str">
        <f t="shared" si="0"/>
        <v/>
      </c>
    </row>
    <row r="10" spans="1:9" ht="15" customHeight="1" x14ac:dyDescent="0.35">
      <c r="A10" s="10">
        <v>2009</v>
      </c>
      <c r="B10" s="11" t="s">
        <v>104</v>
      </c>
      <c r="C10" s="25" t="s">
        <v>90</v>
      </c>
      <c r="D10" s="6" t="s">
        <v>9</v>
      </c>
      <c r="E10" s="24" t="s">
        <v>33</v>
      </c>
      <c r="F10" s="1" t="s">
        <v>0</v>
      </c>
      <c r="G10" s="3" t="str">
        <f t="shared" si="0"/>
        <v/>
      </c>
    </row>
    <row r="11" spans="1:9" ht="15" customHeight="1" x14ac:dyDescent="0.35">
      <c r="A11" s="10">
        <v>2010</v>
      </c>
      <c r="B11" s="11" t="s">
        <v>104</v>
      </c>
      <c r="C11" s="25" t="s">
        <v>90</v>
      </c>
      <c r="D11" s="6" t="s">
        <v>9</v>
      </c>
      <c r="E11" s="24" t="s">
        <v>51</v>
      </c>
      <c r="F11" s="1" t="s">
        <v>0</v>
      </c>
      <c r="G11" s="3" t="str">
        <f t="shared" si="0"/>
        <v/>
      </c>
    </row>
    <row r="12" spans="1:9" ht="15" customHeight="1" x14ac:dyDescent="0.35">
      <c r="A12" s="10">
        <v>2011</v>
      </c>
      <c r="B12" s="11" t="s">
        <v>104</v>
      </c>
      <c r="C12" s="25" t="s">
        <v>90</v>
      </c>
      <c r="D12" s="6" t="s">
        <v>9</v>
      </c>
      <c r="E12" s="13" t="s">
        <v>84</v>
      </c>
      <c r="F12" s="1">
        <v>0</v>
      </c>
      <c r="G12" s="3" t="str">
        <f t="shared" si="0"/>
        <v/>
      </c>
    </row>
    <row r="13" spans="1:9" ht="15" customHeight="1" x14ac:dyDescent="0.35">
      <c r="A13" s="10">
        <v>2012</v>
      </c>
      <c r="B13" s="11" t="s">
        <v>104</v>
      </c>
      <c r="C13" s="25" t="s">
        <v>90</v>
      </c>
      <c r="D13" s="6" t="s">
        <v>9</v>
      </c>
      <c r="E13" s="13" t="s">
        <v>85</v>
      </c>
      <c r="F13" s="1">
        <v>0</v>
      </c>
      <c r="G13" s="3" t="str">
        <f t="shared" si="0"/>
        <v/>
      </c>
    </row>
    <row r="14" spans="1:9" ht="15" customHeight="1" x14ac:dyDescent="0.35">
      <c r="A14" s="10">
        <v>2013</v>
      </c>
      <c r="B14" s="11" t="s">
        <v>104</v>
      </c>
      <c r="C14" s="25" t="s">
        <v>90</v>
      </c>
      <c r="D14" s="6" t="s">
        <v>9</v>
      </c>
      <c r="E14" s="13" t="s">
        <v>86</v>
      </c>
      <c r="F14" s="1">
        <v>0</v>
      </c>
      <c r="G14" s="3" t="str">
        <f t="shared" si="0"/>
        <v/>
      </c>
    </row>
    <row r="15" spans="1:9" ht="15" customHeight="1" x14ac:dyDescent="0.35">
      <c r="A15" s="10">
        <v>2014</v>
      </c>
      <c r="B15" s="11" t="s">
        <v>104</v>
      </c>
      <c r="C15" s="25" t="s">
        <v>90</v>
      </c>
      <c r="D15" s="6" t="s">
        <v>9</v>
      </c>
      <c r="E15" s="24" t="s">
        <v>38</v>
      </c>
      <c r="F15" s="1" t="s">
        <v>0</v>
      </c>
      <c r="G15" s="3" t="str">
        <f t="shared" si="0"/>
        <v/>
      </c>
    </row>
    <row r="16" spans="1:9" ht="15" customHeight="1" x14ac:dyDescent="0.35">
      <c r="A16" s="10">
        <v>2015</v>
      </c>
      <c r="B16" s="11" t="s">
        <v>104</v>
      </c>
      <c r="C16" s="25" t="s">
        <v>90</v>
      </c>
      <c r="D16" s="6" t="s">
        <v>9</v>
      </c>
      <c r="E16" s="24" t="s">
        <v>39</v>
      </c>
      <c r="F16" s="1" t="s">
        <v>0</v>
      </c>
      <c r="G16" s="3" t="str">
        <f t="shared" si="0"/>
        <v/>
      </c>
    </row>
    <row r="17" spans="1:18" ht="15" customHeight="1" x14ac:dyDescent="0.35">
      <c r="A17" s="10">
        <v>2016</v>
      </c>
      <c r="B17" s="11" t="s">
        <v>104</v>
      </c>
      <c r="C17" s="25" t="s">
        <v>90</v>
      </c>
      <c r="D17" s="6" t="s">
        <v>9</v>
      </c>
      <c r="E17" s="13" t="s">
        <v>87</v>
      </c>
      <c r="F17" s="1">
        <v>0</v>
      </c>
      <c r="G17" s="3" t="str">
        <f t="shared" si="0"/>
        <v/>
      </c>
    </row>
    <row r="18" spans="1:18" ht="15" customHeight="1" x14ac:dyDescent="0.35">
      <c r="A18" s="10">
        <v>2017</v>
      </c>
      <c r="B18" s="9" t="s">
        <v>102</v>
      </c>
      <c r="C18" s="25" t="s">
        <v>90</v>
      </c>
      <c r="D18" s="6" t="s">
        <v>9</v>
      </c>
      <c r="E18" s="13" t="s">
        <v>88</v>
      </c>
      <c r="F18" s="1">
        <v>0</v>
      </c>
      <c r="G18" s="3" t="str">
        <f t="shared" si="0"/>
        <v/>
      </c>
    </row>
    <row r="19" spans="1:18" ht="15" customHeight="1" x14ac:dyDescent="0.35">
      <c r="A19" s="10">
        <v>2018</v>
      </c>
      <c r="B19" s="9" t="s">
        <v>102</v>
      </c>
      <c r="C19" s="25" t="s">
        <v>90</v>
      </c>
      <c r="D19" s="6" t="s">
        <v>9</v>
      </c>
      <c r="E19" s="24" t="s">
        <v>42</v>
      </c>
      <c r="F19" s="1" t="s">
        <v>0</v>
      </c>
      <c r="G19" s="3" t="str">
        <f t="shared" si="0"/>
        <v/>
      </c>
    </row>
    <row r="20" spans="1:18" ht="15" customHeight="1" x14ac:dyDescent="0.35">
      <c r="A20" s="10">
        <v>2019</v>
      </c>
      <c r="B20" s="9" t="s">
        <v>102</v>
      </c>
      <c r="C20" s="25" t="s">
        <v>90</v>
      </c>
      <c r="D20" s="6" t="s">
        <v>9</v>
      </c>
      <c r="E20" s="13" t="s">
        <v>89</v>
      </c>
      <c r="F20" s="1">
        <v>0</v>
      </c>
      <c r="G20" s="3" t="str">
        <f t="shared" si="0"/>
        <v/>
      </c>
    </row>
    <row r="21" spans="1:18" ht="15" customHeight="1" x14ac:dyDescent="0.35">
      <c r="A21" s="10">
        <v>2020</v>
      </c>
      <c r="B21" s="9" t="s">
        <v>102</v>
      </c>
      <c r="C21" s="25" t="s">
        <v>90</v>
      </c>
      <c r="D21" s="6" t="s">
        <v>9</v>
      </c>
      <c r="E21" s="13" t="s">
        <v>108</v>
      </c>
      <c r="F21" s="1">
        <v>0</v>
      </c>
      <c r="G21" s="3" t="str">
        <f t="shared" si="0"/>
        <v/>
      </c>
    </row>
    <row r="22" spans="1:18" ht="15" customHeight="1" x14ac:dyDescent="0.35">
      <c r="A22" s="10">
        <v>2021</v>
      </c>
      <c r="B22" s="9" t="s">
        <v>102</v>
      </c>
      <c r="C22" s="25" t="s">
        <v>90</v>
      </c>
      <c r="D22" s="6" t="s">
        <v>9</v>
      </c>
      <c r="E22" s="13" t="s">
        <v>111</v>
      </c>
      <c r="F22" s="1">
        <v>0</v>
      </c>
      <c r="G22" s="3" t="str">
        <f t="shared" ref="G22:G24" si="1">IF(OR(AND(F22&gt;1,F22&lt;&gt;"-")),"Can exchange","")</f>
        <v/>
      </c>
    </row>
    <row r="23" spans="1:18" ht="15" customHeight="1" x14ac:dyDescent="0.35">
      <c r="A23" s="10">
        <v>2022</v>
      </c>
      <c r="B23" s="9" t="s">
        <v>102</v>
      </c>
      <c r="C23" s="25" t="s">
        <v>90</v>
      </c>
      <c r="D23" s="6" t="s">
        <v>9</v>
      </c>
      <c r="E23" s="13" t="s">
        <v>115</v>
      </c>
      <c r="F23" s="1">
        <v>0</v>
      </c>
      <c r="G23" s="3" t="str">
        <f t="shared" si="1"/>
        <v/>
      </c>
    </row>
    <row r="24" spans="1:18" ht="15" customHeight="1" x14ac:dyDescent="0.35">
      <c r="A24" s="10">
        <v>2023</v>
      </c>
      <c r="B24" s="9" t="s">
        <v>102</v>
      </c>
      <c r="C24" s="25" t="s">
        <v>90</v>
      </c>
      <c r="D24" s="6" t="s">
        <v>9</v>
      </c>
      <c r="E24" s="13" t="s">
        <v>120</v>
      </c>
      <c r="F24" s="1">
        <v>0</v>
      </c>
      <c r="G24" s="3" t="str">
        <f t="shared" si="1"/>
        <v/>
      </c>
    </row>
    <row r="25" spans="1:18" ht="15" customHeight="1" x14ac:dyDescent="0.35">
      <c r="A25" s="10">
        <v>2024</v>
      </c>
      <c r="B25" s="9" t="s">
        <v>102</v>
      </c>
      <c r="C25" s="25" t="s">
        <v>90</v>
      </c>
      <c r="D25" s="6" t="s">
        <v>9</v>
      </c>
      <c r="E25" s="13" t="s">
        <v>132</v>
      </c>
      <c r="F25" s="1">
        <v>1</v>
      </c>
      <c r="G25" s="3" t="str">
        <f t="shared" ref="G25:G26" si="2">IF(OR(AND(F25&gt;1,F25&lt;&gt;"-")),"Can exchange","")</f>
        <v/>
      </c>
    </row>
    <row r="26" spans="1:18" ht="15" customHeight="1" x14ac:dyDescent="0.35">
      <c r="A26" s="10">
        <v>2025</v>
      </c>
      <c r="B26" s="9" t="s">
        <v>102</v>
      </c>
      <c r="C26" s="25" t="s">
        <v>90</v>
      </c>
      <c r="D26" s="6" t="s">
        <v>9</v>
      </c>
      <c r="E26" s="13" t="s">
        <v>133</v>
      </c>
      <c r="F26" s="1">
        <v>2</v>
      </c>
      <c r="G26" s="3" t="str">
        <f t="shared" si="2"/>
        <v>Can exchange</v>
      </c>
      <c r="R26" s="26"/>
    </row>
  </sheetData>
  <autoFilter ref="B2:E2" xr:uid="{00000000-0001-0000-0700-000000000000}"/>
  <mergeCells count="2">
    <mergeCell ref="A1:A2"/>
    <mergeCell ref="C1:D1"/>
  </mergeCells>
  <phoneticPr fontId="8" type="noConversion"/>
  <conditionalFormatting sqref="F3:F20 F22 F24">
    <cfRule type="containsText" dxfId="6" priority="7" operator="containsText" text="*-">
      <formula>NOT(ISERROR(SEARCH(("*-"),(F3))))</formula>
    </cfRule>
  </conditionalFormatting>
  <conditionalFormatting sqref="F3:F20 F22 F24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1 F23">
    <cfRule type="containsText" dxfId="5" priority="5" operator="containsText" text="*-">
      <formula>NOT(ISERROR(SEARCH(("*-"),(F21))))</formula>
    </cfRule>
  </conditionalFormatting>
  <conditionalFormatting sqref="F21 F23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5">
    <cfRule type="containsText" dxfId="4" priority="3" operator="containsText" text="*-">
      <formula>NOT(ISERROR(SEARCH(("*-"),(F25))))</formula>
    </cfRule>
  </conditionalFormatting>
  <conditionalFormatting sqref="F25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6">
    <cfRule type="containsText" dxfId="3" priority="1" operator="containsText" text="*-">
      <formula>NOT(ISERROR(SEARCH(("*-"),(F26))))</formula>
    </cfRule>
  </conditionalFormatting>
  <conditionalFormatting sqref="F26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H39" sqref="H39"/>
    </sheetView>
  </sheetViews>
  <sheetFormatPr defaultRowHeight="15" customHeight="1" x14ac:dyDescent="0.35"/>
  <cols>
    <col min="1" max="1" width="4.81640625" customWidth="1"/>
    <col min="2" max="2" width="16.26953125" customWidth="1"/>
    <col min="3" max="3" width="61.81640625" customWidth="1"/>
  </cols>
  <sheetData>
    <row r="1" spans="1:3" ht="15" customHeight="1" x14ac:dyDescent="0.35">
      <c r="A1" s="15" t="s">
        <v>14</v>
      </c>
      <c r="B1" s="16" t="s">
        <v>15</v>
      </c>
      <c r="C1" s="17" t="s">
        <v>16</v>
      </c>
    </row>
    <row r="2" spans="1:3" ht="15" customHeight="1" x14ac:dyDescent="0.35">
      <c r="A2" s="18">
        <v>1</v>
      </c>
      <c r="B2" s="19" t="s">
        <v>17</v>
      </c>
      <c r="C2" s="20" t="s">
        <v>18</v>
      </c>
    </row>
    <row r="3" spans="1:3" ht="15" customHeight="1" x14ac:dyDescent="0.35">
      <c r="A3" s="18">
        <v>2</v>
      </c>
      <c r="B3" s="19" t="s">
        <v>20</v>
      </c>
      <c r="C3" s="20" t="s">
        <v>19</v>
      </c>
    </row>
    <row r="4" spans="1:3" ht="15" customHeight="1" x14ac:dyDescent="0.35">
      <c r="A4" s="18">
        <v>3</v>
      </c>
      <c r="B4" s="19" t="s">
        <v>21</v>
      </c>
      <c r="C4" s="20" t="s">
        <v>22</v>
      </c>
    </row>
    <row r="5" spans="1:3" ht="15" customHeight="1" x14ac:dyDescent="0.35">
      <c r="A5" s="18">
        <v>4</v>
      </c>
      <c r="B5" s="19" t="s">
        <v>23</v>
      </c>
      <c r="C5" s="20" t="s">
        <v>24</v>
      </c>
    </row>
    <row r="6" spans="1:3" ht="15" customHeight="1" x14ac:dyDescent="0.35">
      <c r="A6" s="18">
        <v>5</v>
      </c>
      <c r="B6" s="19" t="s">
        <v>25</v>
      </c>
      <c r="C6" s="21" t="s">
        <v>26</v>
      </c>
    </row>
    <row r="7" spans="1:3" ht="15" customHeight="1" x14ac:dyDescent="0.35">
      <c r="A7" s="18">
        <v>6</v>
      </c>
      <c r="B7" s="19" t="s">
        <v>25</v>
      </c>
      <c r="C7" s="21" t="s">
        <v>27</v>
      </c>
    </row>
  </sheetData>
  <hyperlinks>
    <hyperlink ref="B2" r:id="rId1" xr:uid="{00000000-0004-0000-0800-000000000000}"/>
    <hyperlink ref="B3" r:id="rId2" xr:uid="{00000000-0004-0000-0800-000001000000}"/>
    <hyperlink ref="B4" r:id="rId3" xr:uid="{00000000-0004-0000-0800-000002000000}"/>
    <hyperlink ref="B5" r:id="rId4" xr:uid="{00000000-0004-0000-0800-000003000000}"/>
    <hyperlink ref="B7" r:id="rId5" xr:uid="{00000000-0004-0000-0800-000004000000}"/>
    <hyperlink ref="B6" r:id="rId6" xr:uid="{00000000-0004-0000-0800-000005000000}"/>
  </hyperlinks>
  <pageMargins left="0.7" right="0.7" top="0.75" bottom="0.75" header="0.3" footer="0.3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1cent</vt:lpstr>
      <vt:lpstr>2cents</vt:lpstr>
      <vt:lpstr>5cents</vt:lpstr>
      <vt:lpstr>10cents</vt:lpstr>
      <vt:lpstr>20cents</vt:lpstr>
      <vt:lpstr>50cents</vt:lpstr>
      <vt:lpstr>1€</vt:lpstr>
      <vt:lpstr>2€</vt:lpstr>
      <vt:lpstr>Links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Алексей Илюшин</cp:lastModifiedBy>
  <dcterms:created xsi:type="dcterms:W3CDTF">2019-12-22T17:08:36Z</dcterms:created>
  <dcterms:modified xsi:type="dcterms:W3CDTF">2026-02-13T09:58:41Z</dcterms:modified>
</cp:coreProperties>
</file>