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France\"/>
    </mc:Choice>
  </mc:AlternateContent>
  <xr:revisionPtr revIDLastSave="0" documentId="13_ncr:1_{3A35B951-2B80-4B91-99DA-E789DBD15B1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5" i="1" l="1"/>
  <c r="J44" i="1"/>
  <c r="J43" i="1"/>
  <c r="J41" i="1"/>
  <c r="J40" i="1"/>
  <c r="J39" i="1"/>
  <c r="J38" i="1"/>
  <c r="J37" i="1"/>
  <c r="J36" i="1"/>
  <c r="J35" i="1"/>
  <c r="J34" i="1" l="1"/>
  <c r="J33" i="1"/>
  <c r="J32" i="1"/>
  <c r="J31" i="1" l="1"/>
  <c r="J27" i="1" l="1"/>
  <c r="J24" i="1"/>
  <c r="J20" i="1"/>
  <c r="J18" i="1"/>
  <c r="J16" i="1"/>
  <c r="J15" i="1"/>
  <c r="J5" i="1"/>
  <c r="J6" i="1" l="1"/>
  <c r="J7" i="1"/>
  <c r="J8" i="1"/>
  <c r="J9" i="1"/>
  <c r="J10" i="1"/>
  <c r="J11" i="1"/>
  <c r="J12" i="1"/>
  <c r="J13" i="1"/>
  <c r="J14" i="1"/>
  <c r="J17" i="1"/>
  <c r="J19" i="1"/>
  <c r="J21" i="1"/>
  <c r="J22" i="1"/>
  <c r="J23" i="1"/>
  <c r="J25" i="1"/>
  <c r="J26" i="1"/>
  <c r="J28" i="1"/>
  <c r="J29" i="1"/>
  <c r="J30" i="1"/>
  <c r="J4" i="1"/>
  <c r="J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H2" authorId="0" shapeId="0" xr:uid="{0449A71D-3EAE-48F4-8BAB-6756158D3F12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I2" authorId="0" shapeId="0" xr:uid="{3A750E96-0451-4D46-B2FF-A20CC3B3F817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I4" authorId="1" shapeId="0" xr:uid="{5BDCF04F-C7A6-4A7A-A8C8-A60DC1B196CC}">
      <text>
        <r>
          <rPr>
            <b/>
            <sz val="9"/>
            <color indexed="81"/>
            <rFont val="Tahoma"/>
            <family val="2"/>
            <charset val="204"/>
          </rPr>
          <t>Дубли не UNC</t>
        </r>
      </text>
    </comment>
    <comment ref="I8" authorId="1" shapeId="0" xr:uid="{BC586052-93C9-4617-A543-A4E09F318929}">
      <text>
        <r>
          <rPr>
            <b/>
            <sz val="9"/>
            <color indexed="81"/>
            <rFont val="Tahoma"/>
            <family val="2"/>
            <charset val="204"/>
          </rPr>
          <t>Дубли не UNC</t>
        </r>
      </text>
    </comment>
    <comment ref="I9" authorId="1" shapeId="0" xr:uid="{E7061D95-2687-4C4E-85D6-2699762E370A}">
      <text>
        <r>
          <rPr>
            <b/>
            <sz val="9"/>
            <color indexed="81"/>
            <rFont val="Tahoma"/>
            <family val="2"/>
            <charset val="204"/>
          </rPr>
          <t>Дубли не UNC</t>
        </r>
      </text>
    </comment>
    <comment ref="I10" authorId="1" shapeId="0" xr:uid="{E545AB7B-867B-4DCD-A148-4A803331A475}">
      <text>
        <r>
          <rPr>
            <b/>
            <sz val="9"/>
            <color indexed="81"/>
            <rFont val="Tahoma"/>
            <family val="2"/>
            <charset val="204"/>
          </rPr>
          <t>Дубли не UNC</t>
        </r>
      </text>
    </comment>
  </commentList>
</comments>
</file>

<file path=xl/sharedStrings.xml><?xml version="1.0" encoding="utf-8"?>
<sst xmlns="http://schemas.openxmlformats.org/spreadsheetml/2006/main" count="269" uniqueCount="111">
  <si>
    <t>Year</t>
  </si>
  <si>
    <t>Type</t>
  </si>
  <si>
    <t>Mintage</t>
  </si>
  <si>
    <t>2€</t>
  </si>
  <si>
    <t>50th Anniversary - Signing of the Treaty of Rome</t>
  </si>
  <si>
    <t>Ten years of Economic and Monetary Union (EMU) and the birth of the euro</t>
  </si>
  <si>
    <t>10 Years of Euro Cash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</si>
  <si>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</si>
  <si>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</si>
  <si>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</si>
  <si>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</si>
  <si>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</si>
  <si>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</si>
  <si>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</si>
  <si>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</si>
  <si>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</si>
  <si>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</si>
  <si>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</si>
  <si>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</si>
  <si>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</si>
  <si>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</si>
  <si>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</si>
  <si>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9.406.875</t>
  </si>
  <si>
    <t>20.084.936</t>
  </si>
  <si>
    <t>10.074.085</t>
  </si>
  <si>
    <t>20.025.317</t>
  </si>
  <si>
    <t>10.030.000</t>
  </si>
  <si>
    <t>1.020.000</t>
  </si>
  <si>
    <t>10.020.000</t>
  </si>
  <si>
    <t>10.021.000</t>
  </si>
  <si>
    <t>3.020.000</t>
  </si>
  <si>
    <t>4.020.500</t>
  </si>
  <si>
    <t>4.020.000</t>
  </si>
  <si>
    <t>10.020.500</t>
  </si>
  <si>
    <t>15.020.000</t>
  </si>
  <si>
    <t>15.021.000</t>
  </si>
  <si>
    <t>310.000</t>
  </si>
  <si>
    <t>15.000.000</t>
  </si>
  <si>
    <t>Obv: With mint symbol - 
Cornucopia</t>
  </si>
  <si>
    <t>French Presidency of the Council of the European Union in the second half of 2008</t>
  </si>
  <si>
    <t>70th Anniversary - Gerneral De Gaulle's Appeal</t>
  </si>
  <si>
    <t>30th Anniversary - Day of Music</t>
  </si>
  <si>
    <t>100th Anniversary - Birth of Abbé Pierre</t>
  </si>
  <si>
    <t>50th Anniversary - Signing of the Elysée Treaty</t>
  </si>
  <si>
    <t>150th Anniversary - Birth of Pierre de Coubertin</t>
  </si>
  <si>
    <t>70th Anniversary - Normandy Landings</t>
  </si>
  <si>
    <t>World AIDS Day</t>
  </si>
  <si>
    <t>70th Anniversary - End of World War II</t>
  </si>
  <si>
    <t>225th Anniversary - Festival of the Federation</t>
  </si>
  <si>
    <t>30th Anniversary - European Union flag</t>
  </si>
  <si>
    <t>UEFA European Championship 2016</t>
  </si>
  <si>
    <t>100th Anniversary - Birth of François Mitterrand</t>
  </si>
  <si>
    <t>25th Anniversary - Pink Ribbon</t>
  </si>
  <si>
    <t>100th Anniversary - Death of Auguste Rodin</t>
  </si>
  <si>
    <t>Simone Veil</t>
  </si>
  <si>
    <t>100th Anniversary - End of the First World War</t>
  </si>
  <si>
    <t>60th Anniversary - Creation of Asterix</t>
  </si>
  <si>
    <t>30th Anniversary - Fall of Berlin Wall</t>
  </si>
  <si>
    <t>-</t>
  </si>
  <si>
    <t>5.000</t>
  </si>
  <si>
    <t>Obv: All yellow</t>
  </si>
  <si>
    <t>20.000</t>
  </si>
  <si>
    <t xml:space="preserve">Obv: Red ribbon </t>
  </si>
  <si>
    <t xml:space="preserve">Obv: Red, white and blue cockade </t>
  </si>
  <si>
    <t xml:space="preserve">Obv: Blue flag </t>
  </si>
  <si>
    <t xml:space="preserve">Obv: Pink ribbon </t>
  </si>
  <si>
    <t xml:space="preserve">Obv: Blue cornflower </t>
  </si>
  <si>
    <t>10.000</t>
  </si>
  <si>
    <t>Charles de Gaulle</t>
  </si>
  <si>
    <t>18.061.940</t>
  </si>
  <si>
    <t>Medical Research</t>
  </si>
  <si>
    <t>Obv: Mint main engraving Symbol - French horn</t>
  </si>
  <si>
    <t>Obv: Mint main engraving Symbol - Pentagon</t>
  </si>
  <si>
    <t>Obv: Mint main engraving Symbol - Square</t>
  </si>
  <si>
    <t>Jacques Chirac</t>
  </si>
  <si>
    <t>Erasmus Programme</t>
  </si>
  <si>
    <t>2023 Rugby World Cup</t>
  </si>
  <si>
    <t>2024 Summer Olympics series</t>
  </si>
  <si>
    <t>7.520.000</t>
  </si>
  <si>
    <t>510.000</t>
  </si>
  <si>
    <t>9.020.000</t>
  </si>
  <si>
    <t>260.000</t>
  </si>
  <si>
    <t>3.520.000</t>
  </si>
  <si>
    <t>15.120.000</t>
  </si>
  <si>
    <t>Subject</t>
  </si>
  <si>
    <t>75th Anniversary - UNICEF</t>
  </si>
  <si>
    <t>Sprinting Marianne</t>
  </si>
  <si>
    <t>Genius and discus throwing</t>
  </si>
  <si>
    <t>Hercules and wrestling match</t>
  </si>
  <si>
    <t>Sower and fistfight</t>
  </si>
  <si>
    <t>FR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</si>
  <si>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</si>
  <si>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</si>
  <si>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</si>
  <si>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</si>
  <si>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</si>
  <si>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</si>
  <si>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35th Anniversary - Erasmus Programme</t>
  </si>
  <si>
    <t>Eiffel Tower</t>
  </si>
  <si>
    <t>24.014.000</t>
  </si>
  <si>
    <t>2025 Summer Olympics series</t>
  </si>
  <si>
    <t>Obv: Coloured gardenia</t>
  </si>
  <si>
    <t>Louvre museum</t>
  </si>
  <si>
    <t>315.000</t>
  </si>
  <si>
    <t>Subtype_2#Special_marks_1</t>
  </si>
  <si>
    <t>Subtype_4#Special_marks_2</t>
  </si>
  <si>
    <t>Subtype_5#Coloured</t>
  </si>
  <si>
    <t>Notre-Dame de Paris Cathedral</t>
  </si>
  <si>
    <t>20.000.000</t>
  </si>
  <si>
    <t>320.000</t>
  </si>
  <si>
    <t>80th Anniversary - The Little 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</si>
</sst>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70C0"/>
      <name val="Calibri"/>
      <family val="2"/>
      <charset val="204"/>
    </font>
    <font>
      <sz val="8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9D3B9"/>
        <bgColor rgb="FF000000"/>
      </patternFill>
    </fill>
    <fill>
      <patternFill patternType="solid">
        <fgColor theme="5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1"/>
    <xf numFmtId="3" fontId="2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 shrinkToFit="1"/>
    </xf>
    <xf numFmtId="3" fontId="2" fillId="5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wrapText="1"/>
    </xf>
    <xf numFmtId="49" fontId="4" fillId="2" borderId="1" xfId="0" applyNumberFormat="1" applyFont="1" applyFill="1" applyBorder="1" applyAlignment="1">
      <alignment horizontal="center" vertical="center" shrinkToFit="1"/>
    </xf>
    <xf numFmtId="3" fontId="4" fillId="6" borderId="5" xfId="0" applyNumberFormat="1" applyFont="1" applyFill="1" applyBorder="1" applyAlignment="1">
      <alignment horizontal="center" vertical="center" shrinkToFit="1"/>
    </xf>
    <xf numFmtId="3" fontId="2" fillId="3" borderId="5" xfId="0" applyNumberFormat="1" applyFont="1" applyFill="1" applyBorder="1" applyAlignment="1">
      <alignment horizontal="center" vertical="center"/>
    </xf>
    <xf numFmtId="3" fontId="2" fillId="5" borderId="5" xfId="0" applyNumberFormat="1" applyFont="1" applyFill="1" applyBorder="1" applyAlignment="1">
      <alignment horizontal="center" vertical="center" shrinkToFit="1"/>
    </xf>
    <xf numFmtId="3" fontId="8" fillId="7" borderId="5" xfId="0" applyNumberFormat="1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2" fillId="4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9"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"/>
    <tableColumn id="2" xr3:uid="{00000000-0010-0000-0000-000002000000}" name="Link" dataDxfId="2" dataCellStyle="Гиперссылка"/>
    <tableColumn id="3" xr3:uid="{00000000-0010-0000-0000-000003000000}" name="Description (single table, table set, mintage, prices):" dataDxfId="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france&amp;period=310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fra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pane xSplit="10" ySplit="2" topLeftCell="K6" activePane="bottomRight" state="frozen"/>
      <selection pane="topRight" activeCell="F1" sqref="F1"/>
      <selection pane="bottomLeft" activeCell="A3" sqref="A3"/>
      <selection pane="bottomRight" activeCell="E48" sqref="E48"/>
    </sheetView>
  </sheetViews>
  <sheetFormatPr defaultColWidth="9.1796875" defaultRowHeight="15" customHeight="1" x14ac:dyDescent="0.35"/>
  <cols>
    <col min="1" max="1" width="5.6328125" style="10" customWidth="1"/>
    <col min="2" max="2" width="50.6328125" style="10" customWidth="1"/>
    <col min="3" max="7" width="33.6328125" style="10" customWidth="1"/>
    <col min="8" max="8" width="12.6328125" style="10" customWidth="1"/>
    <col min="9" max="9" width="3.6328125" style="10" customWidth="1"/>
    <col min="10" max="10" width="12.6328125" style="10" customWidth="1"/>
    <col min="11" max="16384" width="9.1796875" style="1"/>
  </cols>
  <sheetData>
    <row r="1" spans="1:10" ht="15" customHeight="1" x14ac:dyDescent="0.35">
      <c r="A1" s="27" t="s">
        <v>0</v>
      </c>
      <c r="B1" s="26"/>
      <c r="C1" s="29" t="s">
        <v>1</v>
      </c>
      <c r="D1" s="30"/>
      <c r="E1" s="30"/>
      <c r="F1" s="30"/>
      <c r="G1" s="31"/>
      <c r="H1" s="2" t="s">
        <v>2</v>
      </c>
      <c r="I1" s="18" t="s">
        <v>3</v>
      </c>
      <c r="J1" s="3"/>
    </row>
    <row r="2" spans="1:10" ht="15" customHeight="1" x14ac:dyDescent="0.35">
      <c r="A2" s="28"/>
      <c r="B2" s="26" t="s">
        <v>84</v>
      </c>
      <c r="C2" s="4" t="s">
        <v>91</v>
      </c>
      <c r="D2" s="4" t="s">
        <v>104</v>
      </c>
      <c r="E2" s="4" t="s">
        <v>92</v>
      </c>
      <c r="F2" s="4" t="s">
        <v>105</v>
      </c>
      <c r="G2" s="4" t="s">
        <v>106</v>
      </c>
      <c r="H2" s="25" t="s">
        <v>90</v>
      </c>
      <c r="I2" s="20" t="s">
        <v>90</v>
      </c>
      <c r="J2" s="3"/>
    </row>
    <row r="3" spans="1:10" ht="15" customHeight="1" x14ac:dyDescent="0.35">
      <c r="A3" s="5">
        <v>2007</v>
      </c>
      <c r="B3" s="6" t="s">
        <v>4</v>
      </c>
      <c r="C3" s="21" t="s">
        <v>93</v>
      </c>
      <c r="D3" s="21" t="s">
        <v>38</v>
      </c>
      <c r="E3" s="7" t="s">
        <v>18</v>
      </c>
      <c r="F3" s="7" t="s">
        <v>71</v>
      </c>
      <c r="G3" s="7"/>
      <c r="H3" s="19" t="s">
        <v>22</v>
      </c>
      <c r="I3" s="8">
        <v>1</v>
      </c>
      <c r="J3" s="9" t="str">
        <f t="shared" ref="J3" si="0">IF(OR(AND(I3&gt;1,I3&lt;&gt;"-")),"Can exchange","")</f>
        <v/>
      </c>
    </row>
    <row r="4" spans="1:10" ht="15" customHeight="1" x14ac:dyDescent="0.35">
      <c r="A4" s="5">
        <v>2008</v>
      </c>
      <c r="B4" s="6" t="s">
        <v>39</v>
      </c>
      <c r="C4" s="21"/>
      <c r="D4" s="21" t="s">
        <v>38</v>
      </c>
      <c r="E4" s="7" t="s">
        <v>18</v>
      </c>
      <c r="F4" s="7" t="s">
        <v>71</v>
      </c>
      <c r="G4" s="7"/>
      <c r="H4" s="19" t="s">
        <v>23</v>
      </c>
      <c r="I4" s="23">
        <v>2</v>
      </c>
      <c r="J4" s="9" t="str">
        <f t="shared" ref="J4:J6" si="1">IF(OR(AND(I4&gt;1,I4&lt;&gt;"-")),"Can exchange","")</f>
        <v>Can exchange</v>
      </c>
    </row>
    <row r="5" spans="1:10" ht="15" customHeight="1" x14ac:dyDescent="0.35">
      <c r="A5" s="5">
        <v>2008</v>
      </c>
      <c r="B5" s="6" t="s">
        <v>39</v>
      </c>
      <c r="C5" s="21"/>
      <c r="D5" s="21" t="s">
        <v>38</v>
      </c>
      <c r="E5" s="7" t="s">
        <v>18</v>
      </c>
      <c r="F5" s="7" t="s">
        <v>71</v>
      </c>
      <c r="G5" s="7" t="s">
        <v>60</v>
      </c>
      <c r="H5" s="22" t="s">
        <v>59</v>
      </c>
      <c r="I5" s="8" t="s">
        <v>58</v>
      </c>
      <c r="J5" s="9" t="str">
        <f t="shared" si="1"/>
        <v/>
      </c>
    </row>
    <row r="6" spans="1:10" ht="15" customHeight="1" x14ac:dyDescent="0.35">
      <c r="A6" s="5">
        <v>2009</v>
      </c>
      <c r="B6" s="6" t="s">
        <v>5</v>
      </c>
      <c r="C6" s="21" t="s">
        <v>94</v>
      </c>
      <c r="D6" s="21" t="s">
        <v>38</v>
      </c>
      <c r="E6" s="7" t="s">
        <v>18</v>
      </c>
      <c r="F6" s="7" t="s">
        <v>71</v>
      </c>
      <c r="G6" s="7"/>
      <c r="H6" s="19" t="s">
        <v>24</v>
      </c>
      <c r="I6" s="8">
        <v>1</v>
      </c>
      <c r="J6" s="9" t="str">
        <f t="shared" si="1"/>
        <v/>
      </c>
    </row>
    <row r="7" spans="1:10" ht="15" customHeight="1" x14ac:dyDescent="0.35">
      <c r="A7" s="5">
        <v>2010</v>
      </c>
      <c r="B7" s="6" t="s">
        <v>40</v>
      </c>
      <c r="C7" s="21"/>
      <c r="D7" s="21" t="s">
        <v>38</v>
      </c>
      <c r="E7" s="7" t="s">
        <v>18</v>
      </c>
      <c r="F7" s="7" t="s">
        <v>71</v>
      </c>
      <c r="G7" s="7"/>
      <c r="H7" s="19" t="s">
        <v>25</v>
      </c>
      <c r="I7" s="8">
        <v>1</v>
      </c>
      <c r="J7" s="9" t="str">
        <f t="shared" ref="J7:J30" si="2">IF(OR(AND(I7&gt;1,I7&lt;&gt;"-")),"Can exchange","")</f>
        <v/>
      </c>
    </row>
    <row r="8" spans="1:10" ht="15" customHeight="1" x14ac:dyDescent="0.35">
      <c r="A8" s="5">
        <v>2011</v>
      </c>
      <c r="B8" s="6" t="s">
        <v>41</v>
      </c>
      <c r="C8" s="21"/>
      <c r="D8" s="21" t="s">
        <v>38</v>
      </c>
      <c r="E8" s="7" t="s">
        <v>18</v>
      </c>
      <c r="F8" s="7" t="s">
        <v>72</v>
      </c>
      <c r="G8" s="7"/>
      <c r="H8" s="19" t="s">
        <v>26</v>
      </c>
      <c r="I8" s="23">
        <v>2</v>
      </c>
      <c r="J8" s="9" t="str">
        <f t="shared" si="2"/>
        <v>Can exchange</v>
      </c>
    </row>
    <row r="9" spans="1:10" ht="15" customHeight="1" x14ac:dyDescent="0.35">
      <c r="A9" s="5">
        <v>2012</v>
      </c>
      <c r="B9" s="6" t="s">
        <v>42</v>
      </c>
      <c r="C9" s="21"/>
      <c r="D9" s="21" t="s">
        <v>38</v>
      </c>
      <c r="E9" s="7" t="s">
        <v>18</v>
      </c>
      <c r="F9" s="7" t="s">
        <v>72</v>
      </c>
      <c r="G9" s="7"/>
      <c r="H9" s="19" t="s">
        <v>27</v>
      </c>
      <c r="I9" s="23">
        <v>2</v>
      </c>
      <c r="J9" s="9" t="str">
        <f t="shared" si="2"/>
        <v>Can exchange</v>
      </c>
    </row>
    <row r="10" spans="1:10" ht="15" customHeight="1" x14ac:dyDescent="0.35">
      <c r="A10" s="5">
        <v>2012</v>
      </c>
      <c r="B10" s="6" t="s">
        <v>95</v>
      </c>
      <c r="C10" s="21" t="s">
        <v>6</v>
      </c>
      <c r="D10" s="21" t="s">
        <v>38</v>
      </c>
      <c r="E10" s="7" t="s">
        <v>18</v>
      </c>
      <c r="F10" s="7" t="s">
        <v>72</v>
      </c>
      <c r="G10" s="7"/>
      <c r="H10" s="19" t="s">
        <v>28</v>
      </c>
      <c r="I10" s="23">
        <v>2</v>
      </c>
      <c r="J10" s="9" t="str">
        <f t="shared" si="2"/>
        <v>Can exchange</v>
      </c>
    </row>
    <row r="11" spans="1:10" ht="15" customHeight="1" x14ac:dyDescent="0.35">
      <c r="A11" s="5">
        <v>2013</v>
      </c>
      <c r="B11" s="6" t="s">
        <v>43</v>
      </c>
      <c r="C11" s="21" t="s">
        <v>43</v>
      </c>
      <c r="D11" s="21" t="s">
        <v>38</v>
      </c>
      <c r="E11" s="7" t="s">
        <v>18</v>
      </c>
      <c r="F11" s="7" t="s">
        <v>72</v>
      </c>
      <c r="G11" s="7"/>
      <c r="H11" s="19" t="s">
        <v>29</v>
      </c>
      <c r="I11" s="8">
        <v>1</v>
      </c>
      <c r="J11" s="9" t="str">
        <f t="shared" si="2"/>
        <v/>
      </c>
    </row>
    <row r="12" spans="1:10" ht="15" customHeight="1" x14ac:dyDescent="0.35">
      <c r="A12" s="5">
        <v>2013</v>
      </c>
      <c r="B12" s="6" t="s">
        <v>44</v>
      </c>
      <c r="C12" s="21"/>
      <c r="D12" s="21" t="s">
        <v>38</v>
      </c>
      <c r="E12" s="7" t="s">
        <v>18</v>
      </c>
      <c r="F12" s="7" t="s">
        <v>72</v>
      </c>
      <c r="G12" s="7"/>
      <c r="H12" s="19" t="s">
        <v>27</v>
      </c>
      <c r="I12" s="8">
        <v>1</v>
      </c>
      <c r="J12" s="9" t="str">
        <f t="shared" si="2"/>
        <v/>
      </c>
    </row>
    <row r="13" spans="1:10" ht="15" customHeight="1" x14ac:dyDescent="0.35">
      <c r="A13" s="5">
        <v>2014</v>
      </c>
      <c r="B13" s="6" t="s">
        <v>45</v>
      </c>
      <c r="C13" s="21"/>
      <c r="D13" s="21" t="s">
        <v>38</v>
      </c>
      <c r="E13" s="7" t="s">
        <v>18</v>
      </c>
      <c r="F13" s="7" t="s">
        <v>72</v>
      </c>
      <c r="G13" s="7"/>
      <c r="H13" s="19" t="s">
        <v>30</v>
      </c>
      <c r="I13" s="8">
        <v>1</v>
      </c>
      <c r="J13" s="9" t="str">
        <f t="shared" si="2"/>
        <v/>
      </c>
    </row>
    <row r="14" spans="1:10" ht="15" customHeight="1" x14ac:dyDescent="0.35">
      <c r="A14" s="5">
        <v>2014</v>
      </c>
      <c r="B14" s="6" t="s">
        <v>46</v>
      </c>
      <c r="C14" s="21"/>
      <c r="D14" s="21" t="s">
        <v>38</v>
      </c>
      <c r="E14" s="7" t="s">
        <v>18</v>
      </c>
      <c r="F14" s="7" t="s">
        <v>72</v>
      </c>
      <c r="G14" s="7"/>
      <c r="H14" s="19" t="s">
        <v>30</v>
      </c>
      <c r="I14" s="8">
        <v>1</v>
      </c>
      <c r="J14" s="9" t="str">
        <f t="shared" si="2"/>
        <v/>
      </c>
    </row>
    <row r="15" spans="1:10" ht="15" customHeight="1" x14ac:dyDescent="0.35">
      <c r="A15" s="5">
        <v>2014</v>
      </c>
      <c r="B15" s="6" t="s">
        <v>46</v>
      </c>
      <c r="C15" s="21"/>
      <c r="D15" s="21" t="s">
        <v>38</v>
      </c>
      <c r="E15" s="7" t="s">
        <v>18</v>
      </c>
      <c r="F15" s="7" t="s">
        <v>72</v>
      </c>
      <c r="G15" s="7" t="s">
        <v>62</v>
      </c>
      <c r="H15" s="22" t="s">
        <v>61</v>
      </c>
      <c r="I15" s="8" t="s">
        <v>58</v>
      </c>
      <c r="J15" s="9" t="str">
        <f t="shared" si="2"/>
        <v/>
      </c>
    </row>
    <row r="16" spans="1:10" ht="15" customHeight="1" x14ac:dyDescent="0.35">
      <c r="A16" s="5">
        <v>2015</v>
      </c>
      <c r="B16" s="6" t="s">
        <v>47</v>
      </c>
      <c r="C16" s="21"/>
      <c r="D16" s="21" t="s">
        <v>38</v>
      </c>
      <c r="E16" s="7" t="s">
        <v>18</v>
      </c>
      <c r="F16" s="7" t="s">
        <v>72</v>
      </c>
      <c r="G16" s="7"/>
      <c r="H16" s="19" t="s">
        <v>31</v>
      </c>
      <c r="I16" s="8">
        <v>1</v>
      </c>
      <c r="J16" s="9" t="str">
        <f t="shared" si="2"/>
        <v/>
      </c>
    </row>
    <row r="17" spans="1:10" ht="15" customHeight="1" x14ac:dyDescent="0.35">
      <c r="A17" s="5">
        <v>2015</v>
      </c>
      <c r="B17" s="6" t="s">
        <v>48</v>
      </c>
      <c r="C17" s="21"/>
      <c r="D17" s="21" t="s">
        <v>38</v>
      </c>
      <c r="E17" s="7" t="s">
        <v>18</v>
      </c>
      <c r="F17" s="7" t="s">
        <v>72</v>
      </c>
      <c r="G17" s="7"/>
      <c r="H17" s="19" t="s">
        <v>32</v>
      </c>
      <c r="I17" s="8">
        <v>1</v>
      </c>
      <c r="J17" s="9" t="str">
        <f t="shared" si="2"/>
        <v/>
      </c>
    </row>
    <row r="18" spans="1:10" ht="15" customHeight="1" x14ac:dyDescent="0.35">
      <c r="A18" s="5">
        <v>2015</v>
      </c>
      <c r="B18" s="6" t="s">
        <v>48</v>
      </c>
      <c r="C18" s="21"/>
      <c r="D18" s="21" t="s">
        <v>38</v>
      </c>
      <c r="E18" s="7" t="s">
        <v>18</v>
      </c>
      <c r="F18" s="7" t="s">
        <v>72</v>
      </c>
      <c r="G18" s="7" t="s">
        <v>63</v>
      </c>
      <c r="H18" s="22" t="s">
        <v>61</v>
      </c>
      <c r="I18" s="8" t="s">
        <v>58</v>
      </c>
      <c r="J18" s="9" t="str">
        <f t="shared" ref="J18" si="3">IF(OR(AND(I18&gt;1,I18&lt;&gt;"-")),"Can exchange","")</f>
        <v/>
      </c>
    </row>
    <row r="19" spans="1:10" ht="15" customHeight="1" x14ac:dyDescent="0.35">
      <c r="A19" s="5">
        <v>2015</v>
      </c>
      <c r="B19" s="6" t="s">
        <v>49</v>
      </c>
      <c r="C19" s="21" t="s">
        <v>96</v>
      </c>
      <c r="D19" s="21" t="s">
        <v>38</v>
      </c>
      <c r="E19" s="7" t="s">
        <v>18</v>
      </c>
      <c r="F19" s="7" t="s">
        <v>72</v>
      </c>
      <c r="G19" s="7"/>
      <c r="H19" s="19" t="s">
        <v>32</v>
      </c>
      <c r="I19" s="8">
        <v>1</v>
      </c>
      <c r="J19" s="9" t="str">
        <f t="shared" si="2"/>
        <v/>
      </c>
    </row>
    <row r="20" spans="1:10" ht="15" customHeight="1" x14ac:dyDescent="0.35">
      <c r="A20" s="5">
        <v>2015</v>
      </c>
      <c r="B20" s="6" t="s">
        <v>49</v>
      </c>
      <c r="C20" s="21" t="s">
        <v>96</v>
      </c>
      <c r="D20" s="21" t="s">
        <v>38</v>
      </c>
      <c r="E20" s="7" t="s">
        <v>18</v>
      </c>
      <c r="F20" s="7" t="s">
        <v>72</v>
      </c>
      <c r="G20" s="7" t="s">
        <v>64</v>
      </c>
      <c r="H20" s="22" t="s">
        <v>61</v>
      </c>
      <c r="I20" s="8" t="s">
        <v>58</v>
      </c>
      <c r="J20" s="9" t="str">
        <f t="shared" si="2"/>
        <v/>
      </c>
    </row>
    <row r="21" spans="1:10" ht="15" customHeight="1" x14ac:dyDescent="0.35">
      <c r="A21" s="5">
        <v>2016</v>
      </c>
      <c r="B21" s="6" t="s">
        <v>50</v>
      </c>
      <c r="C21" s="21"/>
      <c r="D21" s="21" t="s">
        <v>38</v>
      </c>
      <c r="E21" s="7" t="s">
        <v>18</v>
      </c>
      <c r="F21" s="7" t="s">
        <v>72</v>
      </c>
      <c r="G21" s="7"/>
      <c r="H21" s="19" t="s">
        <v>33</v>
      </c>
      <c r="I21" s="23">
        <v>2</v>
      </c>
      <c r="J21" s="9" t="str">
        <f t="shared" si="2"/>
        <v>Can exchange</v>
      </c>
    </row>
    <row r="22" spans="1:10" ht="15" customHeight="1" x14ac:dyDescent="0.35">
      <c r="A22" s="5">
        <v>2016</v>
      </c>
      <c r="B22" s="6" t="s">
        <v>51</v>
      </c>
      <c r="C22" s="21"/>
      <c r="D22" s="21" t="s">
        <v>38</v>
      </c>
      <c r="E22" s="7" t="s">
        <v>18</v>
      </c>
      <c r="F22" s="7" t="s">
        <v>72</v>
      </c>
      <c r="G22" s="7"/>
      <c r="H22" s="19" t="s">
        <v>28</v>
      </c>
      <c r="I22" s="8">
        <v>1</v>
      </c>
      <c r="J22" s="9" t="str">
        <f t="shared" si="2"/>
        <v/>
      </c>
    </row>
    <row r="23" spans="1:10" ht="15" customHeight="1" x14ac:dyDescent="0.35">
      <c r="A23" s="5">
        <v>2017</v>
      </c>
      <c r="B23" s="6" t="s">
        <v>52</v>
      </c>
      <c r="C23" s="21"/>
      <c r="D23" s="21" t="s">
        <v>38</v>
      </c>
      <c r="E23" s="7" t="s">
        <v>18</v>
      </c>
      <c r="F23" s="7" t="s">
        <v>72</v>
      </c>
      <c r="G23" s="7"/>
      <c r="H23" s="19" t="s">
        <v>28</v>
      </c>
      <c r="I23" s="8">
        <v>1</v>
      </c>
      <c r="J23" s="9" t="str">
        <f t="shared" si="2"/>
        <v/>
      </c>
    </row>
    <row r="24" spans="1:10" ht="15" customHeight="1" x14ac:dyDescent="0.35">
      <c r="A24" s="5">
        <v>2017</v>
      </c>
      <c r="B24" s="6" t="s">
        <v>52</v>
      </c>
      <c r="C24" s="21"/>
      <c r="D24" s="21" t="s">
        <v>38</v>
      </c>
      <c r="E24" s="7" t="s">
        <v>18</v>
      </c>
      <c r="F24" s="7" t="s">
        <v>72</v>
      </c>
      <c r="G24" s="7" t="s">
        <v>65</v>
      </c>
      <c r="H24" s="22" t="s">
        <v>61</v>
      </c>
      <c r="I24" s="8" t="s">
        <v>58</v>
      </c>
      <c r="J24" s="9" t="str">
        <f t="shared" ref="J24" si="4">IF(OR(AND(I24&gt;1,I24&lt;&gt;"-")),"Can exchange","")</f>
        <v/>
      </c>
    </row>
    <row r="25" spans="1:10" ht="15" customHeight="1" x14ac:dyDescent="0.35">
      <c r="A25" s="5">
        <v>2017</v>
      </c>
      <c r="B25" s="6" t="s">
        <v>53</v>
      </c>
      <c r="C25" s="21"/>
      <c r="D25" s="21" t="s">
        <v>38</v>
      </c>
      <c r="E25" s="7" t="s">
        <v>18</v>
      </c>
      <c r="F25" s="7" t="s">
        <v>72</v>
      </c>
      <c r="G25" s="7"/>
      <c r="H25" s="19" t="s">
        <v>33</v>
      </c>
      <c r="I25" s="8">
        <v>1</v>
      </c>
      <c r="J25" s="9" t="str">
        <f t="shared" si="2"/>
        <v/>
      </c>
    </row>
    <row r="26" spans="1:10" ht="15" customHeight="1" x14ac:dyDescent="0.35">
      <c r="A26" s="5">
        <v>2018</v>
      </c>
      <c r="B26" s="6" t="s">
        <v>55</v>
      </c>
      <c r="C26" s="21"/>
      <c r="D26" s="21" t="s">
        <v>38</v>
      </c>
      <c r="E26" s="7" t="s">
        <v>18</v>
      </c>
      <c r="F26" s="7" t="s">
        <v>72</v>
      </c>
      <c r="G26" s="7"/>
      <c r="H26" s="19" t="s">
        <v>34</v>
      </c>
      <c r="I26" s="8">
        <v>1</v>
      </c>
      <c r="J26" s="9" t="str">
        <f t="shared" si="2"/>
        <v/>
      </c>
    </row>
    <row r="27" spans="1:10" ht="15" customHeight="1" x14ac:dyDescent="0.35">
      <c r="A27" s="5">
        <v>2018</v>
      </c>
      <c r="B27" s="6" t="s">
        <v>55</v>
      </c>
      <c r="C27" s="21"/>
      <c r="D27" s="21" t="s">
        <v>38</v>
      </c>
      <c r="E27" s="7" t="s">
        <v>18</v>
      </c>
      <c r="F27" s="7" t="s">
        <v>72</v>
      </c>
      <c r="G27" s="7" t="s">
        <v>66</v>
      </c>
      <c r="H27" s="22" t="s">
        <v>67</v>
      </c>
      <c r="I27" s="8" t="s">
        <v>58</v>
      </c>
      <c r="J27" s="9" t="str">
        <f t="shared" si="2"/>
        <v/>
      </c>
    </row>
    <row r="28" spans="1:10" ht="15" customHeight="1" x14ac:dyDescent="0.35">
      <c r="A28" s="5">
        <v>2018</v>
      </c>
      <c r="B28" s="6" t="s">
        <v>54</v>
      </c>
      <c r="C28" s="21"/>
      <c r="D28" s="21" t="s">
        <v>38</v>
      </c>
      <c r="E28" s="7" t="s">
        <v>18</v>
      </c>
      <c r="F28" s="7" t="s">
        <v>72</v>
      </c>
      <c r="G28" s="7"/>
      <c r="H28" s="19" t="s">
        <v>35</v>
      </c>
      <c r="I28" s="8">
        <v>1</v>
      </c>
      <c r="J28" s="9" t="str">
        <f t="shared" si="2"/>
        <v/>
      </c>
    </row>
    <row r="29" spans="1:10" ht="15" customHeight="1" x14ac:dyDescent="0.35">
      <c r="A29" s="5">
        <v>2019</v>
      </c>
      <c r="B29" s="6" t="s">
        <v>56</v>
      </c>
      <c r="C29" s="21"/>
      <c r="D29" s="21" t="s">
        <v>38</v>
      </c>
      <c r="E29" s="7" t="s">
        <v>18</v>
      </c>
      <c r="F29" s="7" t="s">
        <v>72</v>
      </c>
      <c r="G29" s="7"/>
      <c r="H29" s="22" t="s">
        <v>36</v>
      </c>
      <c r="I29" s="24">
        <v>1</v>
      </c>
      <c r="J29" s="9" t="str">
        <f t="shared" si="2"/>
        <v/>
      </c>
    </row>
    <row r="30" spans="1:10" ht="15" customHeight="1" x14ac:dyDescent="0.35">
      <c r="A30" s="5">
        <v>2019</v>
      </c>
      <c r="B30" s="6" t="s">
        <v>57</v>
      </c>
      <c r="C30" s="21"/>
      <c r="D30" s="21" t="s">
        <v>38</v>
      </c>
      <c r="E30" s="7" t="s">
        <v>18</v>
      </c>
      <c r="F30" s="7" t="s">
        <v>72</v>
      </c>
      <c r="G30" s="7"/>
      <c r="H30" s="19" t="s">
        <v>37</v>
      </c>
      <c r="I30" s="8">
        <v>1</v>
      </c>
      <c r="J30" s="9" t="str">
        <f t="shared" si="2"/>
        <v/>
      </c>
    </row>
    <row r="31" spans="1:10" ht="15" customHeight="1" x14ac:dyDescent="0.35">
      <c r="A31" s="5">
        <v>2020</v>
      </c>
      <c r="B31" s="6" t="s">
        <v>68</v>
      </c>
      <c r="C31" s="21"/>
      <c r="D31" s="21" t="s">
        <v>38</v>
      </c>
      <c r="E31" s="7" t="s">
        <v>18</v>
      </c>
      <c r="F31" s="7" t="s">
        <v>72</v>
      </c>
      <c r="G31" s="7"/>
      <c r="H31" s="19" t="s">
        <v>69</v>
      </c>
      <c r="I31" s="8">
        <v>1</v>
      </c>
      <c r="J31" s="9" t="str">
        <f t="shared" ref="J31" si="5">IF(OR(AND(I31&gt;1,I31&lt;&gt;"-")),"Can exchange","")</f>
        <v/>
      </c>
    </row>
    <row r="32" spans="1:10" ht="15" customHeight="1" x14ac:dyDescent="0.35">
      <c r="A32" s="5">
        <v>2020</v>
      </c>
      <c r="B32" s="6" t="s">
        <v>70</v>
      </c>
      <c r="C32" s="21"/>
      <c r="D32" s="21" t="s">
        <v>38</v>
      </c>
      <c r="E32" s="7" t="s">
        <v>18</v>
      </c>
      <c r="F32" s="7" t="s">
        <v>72</v>
      </c>
      <c r="G32" s="7"/>
      <c r="H32" s="22" t="s">
        <v>36</v>
      </c>
      <c r="I32" s="24">
        <v>1</v>
      </c>
      <c r="J32" s="9" t="str">
        <f t="shared" ref="J32" si="6">IF(OR(AND(I32&gt;1,I32&lt;&gt;"-")),"Can exchange","")</f>
        <v/>
      </c>
    </row>
    <row r="33" spans="1:10" ht="15" customHeight="1" x14ac:dyDescent="0.35">
      <c r="A33" s="5">
        <v>2021</v>
      </c>
      <c r="B33" s="6" t="s">
        <v>85</v>
      </c>
      <c r="C33" s="21"/>
      <c r="D33" s="21" t="s">
        <v>38</v>
      </c>
      <c r="E33" s="7" t="s">
        <v>18</v>
      </c>
      <c r="F33" s="7" t="s">
        <v>73</v>
      </c>
      <c r="G33" s="7"/>
      <c r="H33" s="19" t="s">
        <v>78</v>
      </c>
      <c r="I33" s="8">
        <v>1</v>
      </c>
      <c r="J33" s="9" t="str">
        <f t="shared" ref="J33:J34" si="7">IF(OR(AND(I33&gt;1,I33&lt;&gt;"-")),"Can exchange","")</f>
        <v/>
      </c>
    </row>
    <row r="34" spans="1:10" ht="15" customHeight="1" x14ac:dyDescent="0.35">
      <c r="A34" s="5">
        <v>2021</v>
      </c>
      <c r="B34" s="6" t="s">
        <v>86</v>
      </c>
      <c r="C34" s="21" t="s">
        <v>77</v>
      </c>
      <c r="D34" s="21" t="s">
        <v>38</v>
      </c>
      <c r="E34" s="7" t="s">
        <v>18</v>
      </c>
      <c r="F34" s="7" t="s">
        <v>73</v>
      </c>
      <c r="G34" s="7"/>
      <c r="H34" s="22" t="s">
        <v>79</v>
      </c>
      <c r="I34" s="24">
        <v>1</v>
      </c>
      <c r="J34" s="9" t="str">
        <f t="shared" si="7"/>
        <v/>
      </c>
    </row>
    <row r="35" spans="1:10" ht="15" customHeight="1" x14ac:dyDescent="0.35">
      <c r="A35" s="5">
        <v>2022</v>
      </c>
      <c r="B35" s="6" t="s">
        <v>74</v>
      </c>
      <c r="C35" s="21"/>
      <c r="D35" s="21" t="s">
        <v>38</v>
      </c>
      <c r="E35" s="7" t="s">
        <v>18</v>
      </c>
      <c r="F35" s="7" t="s">
        <v>73</v>
      </c>
      <c r="G35" s="7"/>
      <c r="H35" s="19" t="s">
        <v>80</v>
      </c>
      <c r="I35" s="8">
        <v>1</v>
      </c>
      <c r="J35" s="9" t="str">
        <f t="shared" ref="J35:J39" si="8">IF(OR(AND(I35&gt;1,I35&lt;&gt;"-")),"Can exchange","")</f>
        <v/>
      </c>
    </row>
    <row r="36" spans="1:10" ht="15" customHeight="1" x14ac:dyDescent="0.35">
      <c r="A36" s="5">
        <v>2022</v>
      </c>
      <c r="B36" s="6" t="s">
        <v>97</v>
      </c>
      <c r="C36" s="21" t="s">
        <v>75</v>
      </c>
      <c r="D36" s="21" t="s">
        <v>38</v>
      </c>
      <c r="E36" s="7" t="s">
        <v>18</v>
      </c>
      <c r="F36" s="7" t="s">
        <v>73</v>
      </c>
      <c r="G36" s="7"/>
      <c r="H36" s="19" t="s">
        <v>82</v>
      </c>
      <c r="I36" s="8">
        <v>1</v>
      </c>
      <c r="J36" s="9" t="str">
        <f t="shared" si="8"/>
        <v/>
      </c>
    </row>
    <row r="37" spans="1:10" ht="15" customHeight="1" x14ac:dyDescent="0.35">
      <c r="A37" s="5">
        <v>2022</v>
      </c>
      <c r="B37" s="6" t="s">
        <v>87</v>
      </c>
      <c r="C37" s="21" t="s">
        <v>77</v>
      </c>
      <c r="D37" s="21" t="s">
        <v>38</v>
      </c>
      <c r="E37" s="7" t="s">
        <v>18</v>
      </c>
      <c r="F37" s="7" t="s">
        <v>73</v>
      </c>
      <c r="G37" s="7"/>
      <c r="H37" s="22" t="s">
        <v>81</v>
      </c>
      <c r="I37" s="24">
        <v>1</v>
      </c>
      <c r="J37" s="9" t="str">
        <f t="shared" si="8"/>
        <v/>
      </c>
    </row>
    <row r="38" spans="1:10" ht="15" customHeight="1" x14ac:dyDescent="0.35">
      <c r="A38" s="5">
        <v>2023</v>
      </c>
      <c r="B38" s="6" t="s">
        <v>89</v>
      </c>
      <c r="C38" s="21" t="s">
        <v>77</v>
      </c>
      <c r="D38" s="21" t="s">
        <v>38</v>
      </c>
      <c r="E38" s="7" t="s">
        <v>18</v>
      </c>
      <c r="F38" s="7" t="s">
        <v>73</v>
      </c>
      <c r="G38" s="7"/>
      <c r="H38" s="22" t="s">
        <v>81</v>
      </c>
      <c r="I38" s="24">
        <v>1</v>
      </c>
      <c r="J38" s="9" t="str">
        <f t="shared" si="8"/>
        <v/>
      </c>
    </row>
    <row r="39" spans="1:10" ht="15" customHeight="1" x14ac:dyDescent="0.35">
      <c r="A39" s="5">
        <v>2023</v>
      </c>
      <c r="B39" s="6" t="s">
        <v>76</v>
      </c>
      <c r="C39" s="21"/>
      <c r="D39" s="21" t="s">
        <v>38</v>
      </c>
      <c r="E39" s="7" t="s">
        <v>18</v>
      </c>
      <c r="F39" s="7" t="s">
        <v>73</v>
      </c>
      <c r="G39" s="7"/>
      <c r="H39" s="19" t="s">
        <v>83</v>
      </c>
      <c r="I39" s="8">
        <v>1</v>
      </c>
      <c r="J39" s="9" t="str">
        <f t="shared" si="8"/>
        <v/>
      </c>
    </row>
    <row r="40" spans="1:10" ht="15" customHeight="1" x14ac:dyDescent="0.35">
      <c r="A40" s="5">
        <v>2024</v>
      </c>
      <c r="B40" s="6" t="s">
        <v>88</v>
      </c>
      <c r="C40" s="21" t="s">
        <v>77</v>
      </c>
      <c r="D40" s="21" t="s">
        <v>38</v>
      </c>
      <c r="E40" s="7" t="s">
        <v>18</v>
      </c>
      <c r="F40" s="7" t="s">
        <v>73</v>
      </c>
      <c r="G40" s="7"/>
      <c r="H40" s="22" t="s">
        <v>79</v>
      </c>
      <c r="I40" s="24">
        <v>1</v>
      </c>
      <c r="J40" s="9" t="str">
        <f t="shared" ref="J40" si="9">IF(OR(AND(I40&gt;1,I40&lt;&gt;"-")),"Can exchange","")</f>
        <v/>
      </c>
    </row>
    <row r="41" spans="1:10" ht="15" customHeight="1" x14ac:dyDescent="0.35">
      <c r="A41" s="5">
        <v>2024</v>
      </c>
      <c r="B41" s="6" t="s">
        <v>98</v>
      </c>
      <c r="C41" s="21" t="s">
        <v>77</v>
      </c>
      <c r="D41" s="21" t="s">
        <v>38</v>
      </c>
      <c r="E41" s="7" t="s">
        <v>18</v>
      </c>
      <c r="F41" s="7" t="s">
        <v>73</v>
      </c>
      <c r="G41" s="7"/>
      <c r="H41" s="19" t="s">
        <v>99</v>
      </c>
      <c r="I41" s="8">
        <v>1</v>
      </c>
      <c r="J41" s="9" t="str">
        <f t="shared" ref="J41" si="10">IF(OR(AND(I41&gt;1,I41&lt;&gt;"-")),"Can exchange","")</f>
        <v/>
      </c>
    </row>
    <row r="42" spans="1:10" ht="15" customHeight="1" x14ac:dyDescent="0.35">
      <c r="A42" s="5">
        <v>2024</v>
      </c>
      <c r="B42" s="6" t="s">
        <v>98</v>
      </c>
      <c r="C42" s="21" t="s">
        <v>100</v>
      </c>
      <c r="D42" s="21" t="s">
        <v>38</v>
      </c>
      <c r="E42" s="7" t="s">
        <v>18</v>
      </c>
      <c r="F42" s="7" t="s">
        <v>73</v>
      </c>
      <c r="G42" s="7" t="s">
        <v>101</v>
      </c>
      <c r="H42" s="22" t="s">
        <v>61</v>
      </c>
      <c r="I42" s="8" t="s">
        <v>58</v>
      </c>
    </row>
    <row r="43" spans="1:10" ht="15" customHeight="1" x14ac:dyDescent="0.35">
      <c r="A43" s="5">
        <v>2025</v>
      </c>
      <c r="B43" s="6" t="s">
        <v>102</v>
      </c>
      <c r="C43" s="21"/>
      <c r="D43" s="21" t="s">
        <v>38</v>
      </c>
      <c r="E43" s="7" t="s">
        <v>18</v>
      </c>
      <c r="F43" s="7" t="s">
        <v>73</v>
      </c>
      <c r="G43" s="7"/>
      <c r="H43" s="22" t="s">
        <v>103</v>
      </c>
      <c r="I43" s="24">
        <v>1</v>
      </c>
      <c r="J43" s="9" t="str">
        <f t="shared" ref="J43:J45" si="11">IF(OR(AND(I43&gt;1,I43&lt;&gt;"-")),"Can exchange","")</f>
        <v/>
      </c>
    </row>
    <row r="44" spans="1:10" ht="15" customHeight="1" x14ac:dyDescent="0.35">
      <c r="A44" s="5">
        <v>2025</v>
      </c>
      <c r="B44" s="6" t="s">
        <v>107</v>
      </c>
      <c r="C44" s="21"/>
      <c r="D44" s="21" t="s">
        <v>38</v>
      </c>
      <c r="E44" s="7" t="s">
        <v>18</v>
      </c>
      <c r="F44" s="7" t="s">
        <v>73</v>
      </c>
      <c r="G44" s="7"/>
      <c r="H44" s="19" t="s">
        <v>108</v>
      </c>
      <c r="I44" s="8">
        <v>1</v>
      </c>
      <c r="J44" s="9" t="str">
        <f t="shared" si="11"/>
        <v/>
      </c>
    </row>
    <row r="45" spans="1:10" ht="15" customHeight="1" x14ac:dyDescent="0.35">
      <c r="A45" s="5">
        <v>2026</v>
      </c>
      <c r="B45" s="6" t="s">
        <v>110</v>
      </c>
      <c r="C45" s="21"/>
      <c r="D45" s="21" t="s">
        <v>38</v>
      </c>
      <c r="E45" s="7" t="s">
        <v>18</v>
      </c>
      <c r="F45" s="7" t="s">
        <v>73</v>
      </c>
      <c r="G45" s="7"/>
      <c r="H45" s="22" t="s">
        <v>109</v>
      </c>
      <c r="I45" s="24">
        <v>0</v>
      </c>
      <c r="J45" s="9" t="str">
        <f t="shared" si="11"/>
        <v/>
      </c>
    </row>
    <row r="47" spans="1:10" ht="15" customHeight="1" x14ac:dyDescent="0.35">
      <c r="H47"/>
      <c r="I47"/>
      <c r="J47"/>
    </row>
    <row r="48" spans="1:10" ht="15" customHeight="1" x14ac:dyDescent="0.35">
      <c r="H48"/>
      <c r="I48"/>
      <c r="J48"/>
    </row>
  </sheetData>
  <autoFilter ref="B2:G2" xr:uid="{00000000-0001-0000-0000-000000000000}"/>
  <mergeCells count="2">
    <mergeCell ref="A1:A2"/>
    <mergeCell ref="C1:G1"/>
  </mergeCells>
  <phoneticPr fontId="11" type="noConversion"/>
  <conditionalFormatting sqref="I3 I6 I10 I12 I14 I17 I23 I26 I8 I21">
    <cfRule type="containsText" dxfId="28" priority="89" operator="containsText" text="*-">
      <formula>NOT(ISERROR(SEARCH(("*-"),(I3))))</formula>
    </cfRule>
  </conditionalFormatting>
  <conditionalFormatting sqref="I3 I6 I10 I12 I14 I17 I23 I26 I8 I21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 I11 I13 I16 I19 I22 I25 I28 I30">
    <cfRule type="containsText" dxfId="27" priority="81" operator="containsText" text="*-">
      <formula>NOT(ISERROR(SEARCH(("*-"),(I7))))</formula>
    </cfRule>
  </conditionalFormatting>
  <conditionalFormatting sqref="I7 I11 I13 I16 I19 I22 I25 I28 I30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ntainsText" dxfId="26" priority="69" operator="containsText" text="*-">
      <formula>NOT(ISERROR(SEARCH(("*-"),(I5))))</formula>
    </cfRule>
  </conditionalFormatting>
  <conditionalFormatting sqref="I5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25" priority="67" operator="containsText" text="*-">
      <formula>NOT(ISERROR(SEARCH(("*-"),(I15))))</formula>
    </cfRule>
  </conditionalFormatting>
  <conditionalFormatting sqref="I15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24" priority="63" operator="containsText" text="*-">
      <formula>NOT(ISERROR(SEARCH(("*-"),(I18))))</formula>
    </cfRule>
  </conditionalFormatting>
  <conditionalFormatting sqref="I18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23" priority="61" operator="containsText" text="*-">
      <formula>NOT(ISERROR(SEARCH(("*-"),(I20))))</formula>
    </cfRule>
  </conditionalFormatting>
  <conditionalFormatting sqref="I24">
    <cfRule type="containsText" dxfId="22" priority="59" operator="containsText" text="*-">
      <formula>NOT(ISERROR(SEARCH(("*-"),(I24))))</formula>
    </cfRule>
  </conditionalFormatting>
  <conditionalFormatting sqref="I20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21" priority="57" operator="containsText" text="*-">
      <formula>NOT(ISERROR(SEARCH(("*-"),(I27))))</formula>
    </cfRule>
  </conditionalFormatting>
  <conditionalFormatting sqref="I27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">
    <cfRule type="containsText" dxfId="20" priority="55" operator="containsText" text="*-">
      <formula>NOT(ISERROR(SEARCH(("*-"),(I31))))</formula>
    </cfRule>
  </conditionalFormatting>
  <conditionalFormatting sqref="I31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19" priority="33" operator="containsText" text="*-">
      <formula>NOT(ISERROR(SEARCH(("*-"),(I38))))</formula>
    </cfRule>
  </conditionalFormatting>
  <conditionalFormatting sqref="I38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18" priority="49" operator="containsText" text="*-">
      <formula>NOT(ISERROR(SEARCH(("*-"),(I29))))</formula>
    </cfRule>
  </conditionalFormatting>
  <conditionalFormatting sqref="I29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">
    <cfRule type="containsText" dxfId="17" priority="47" operator="containsText" text="*-">
      <formula>NOT(ISERROR(SEARCH(("*-"),(I32))))</formula>
    </cfRule>
  </conditionalFormatting>
  <conditionalFormatting sqref="I32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16" priority="45" operator="containsText" text="*-">
      <formula>NOT(ISERROR(SEARCH(("*-"),(I33))))</formula>
    </cfRule>
  </conditionalFormatting>
  <conditionalFormatting sqref="I33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5">
    <cfRule type="containsText" dxfId="15" priority="41" operator="containsText" text="*-">
      <formula>NOT(ISERROR(SEARCH(("*-"),(I35))))</formula>
    </cfRule>
  </conditionalFormatting>
  <conditionalFormatting sqref="I35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9">
    <cfRule type="containsText" dxfId="14" priority="31" operator="containsText" text="*-">
      <formula>NOT(ISERROR(SEARCH(("*-"),(I39))))</formula>
    </cfRule>
  </conditionalFormatting>
  <conditionalFormatting sqref="I39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">
    <cfRule type="containsText" dxfId="13" priority="37" operator="containsText" text="*-">
      <formula>NOT(ISERROR(SEARCH(("*-"),(I36))))</formula>
    </cfRule>
  </conditionalFormatting>
  <conditionalFormatting sqref="I3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7">
    <cfRule type="containsText" dxfId="12" priority="35" operator="containsText" text="*-">
      <formula>NOT(ISERROR(SEARCH(("*-"),(I37))))</formula>
    </cfRule>
  </conditionalFormatting>
  <conditionalFormatting sqref="I3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">
    <cfRule type="containsText" dxfId="11" priority="29" operator="containsText" text="*-">
      <formula>NOT(ISERROR(SEARCH(("*-"),(I34))))</formula>
    </cfRule>
  </conditionalFormatting>
  <conditionalFormatting sqref="I3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0">
    <cfRule type="containsText" dxfId="10" priority="25" operator="containsText" text="*-">
      <formula>NOT(ISERROR(SEARCH(("*-"),(I40))))</formula>
    </cfRule>
  </conditionalFormatting>
  <conditionalFormatting sqref="I40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">
    <cfRule type="containsText" dxfId="9" priority="23" operator="containsText" text="*-">
      <formula>NOT(ISERROR(SEARCH(("*-"),(I9))))</formula>
    </cfRule>
  </conditionalFormatting>
  <conditionalFormatting sqref="I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8" priority="21" operator="containsText" text="*-">
      <formula>NOT(ISERROR(SEARCH(("*-"),(I4))))</formula>
    </cfRule>
  </conditionalFormatting>
  <conditionalFormatting sqref="I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1">
    <cfRule type="containsText" dxfId="7" priority="15" operator="containsText" text="*-">
      <formula>NOT(ISERROR(SEARCH(("*-"),(I41))))</formula>
    </cfRule>
  </conditionalFormatting>
  <conditionalFormatting sqref="I41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2">
    <cfRule type="containsText" dxfId="6" priority="13" operator="containsText" text="*-">
      <formula>NOT(ISERROR(SEARCH(("*-"),(I42))))</formula>
    </cfRule>
  </conditionalFormatting>
  <conditionalFormatting sqref="I4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3">
    <cfRule type="containsText" dxfId="5" priority="7" operator="containsText" text="*-">
      <formula>NOT(ISERROR(SEARCH(("*-"),(I43))))</formula>
    </cfRule>
  </conditionalFormatting>
  <conditionalFormatting sqref="I4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4">
    <cfRule type="containsText" dxfId="4" priority="3" operator="containsText" text="*-">
      <formula>NOT(ISERROR(SEARCH(("*-"),(I44))))</formula>
    </cfRule>
  </conditionalFormatting>
  <conditionalFormatting sqref="I4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5">
    <cfRule type="containsText" dxfId="0" priority="1" operator="containsText" text="*-">
      <formula>NOT(ISERROR(SEARCH(("*-"),(I45))))</formula>
    </cfRule>
  </conditionalFormatting>
  <conditionalFormatting sqref="I4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7" sqref="B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4" t="s">
        <v>7</v>
      </c>
      <c r="B1" s="15" t="s">
        <v>11</v>
      </c>
      <c r="C1" s="16" t="s">
        <v>12</v>
      </c>
    </row>
    <row r="2" spans="1:3" ht="15" customHeight="1" x14ac:dyDescent="0.35">
      <c r="A2" s="11">
        <v>1</v>
      </c>
      <c r="B2" s="12" t="s">
        <v>8</v>
      </c>
      <c r="C2" s="13" t="s">
        <v>13</v>
      </c>
    </row>
    <row r="3" spans="1:3" ht="15" customHeight="1" x14ac:dyDescent="0.35">
      <c r="A3" s="11">
        <v>2</v>
      </c>
      <c r="B3" s="12" t="s">
        <v>9</v>
      </c>
      <c r="C3" s="13" t="s">
        <v>15</v>
      </c>
    </row>
    <row r="4" spans="1:3" ht="15" customHeight="1" x14ac:dyDescent="0.35">
      <c r="A4" s="11">
        <v>3</v>
      </c>
      <c r="B4" s="12" t="s">
        <v>10</v>
      </c>
      <c r="C4" s="13" t="s">
        <v>16</v>
      </c>
    </row>
    <row r="5" spans="1:3" ht="15" customHeight="1" x14ac:dyDescent="0.35">
      <c r="A5" s="11">
        <v>4</v>
      </c>
      <c r="B5" s="12" t="s">
        <v>14</v>
      </c>
      <c r="C5" s="13" t="s">
        <v>17</v>
      </c>
    </row>
    <row r="6" spans="1:3" ht="15" customHeight="1" x14ac:dyDescent="0.35">
      <c r="A6" s="11">
        <v>5</v>
      </c>
      <c r="B6" s="12" t="s">
        <v>19</v>
      </c>
      <c r="C6" s="17" t="s">
        <v>20</v>
      </c>
    </row>
    <row r="7" spans="1:3" ht="15" customHeight="1" x14ac:dyDescent="0.35">
      <c r="A7" s="11">
        <v>6</v>
      </c>
      <c r="B7" s="12" t="s">
        <v>19</v>
      </c>
      <c r="C7" s="17" t="s">
        <v>21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2026-02-12T09:56:34Z</dcterms:modified>
</cp:coreProperties>
</file>