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EURO\Spain\"/>
    </mc:Choice>
  </mc:AlternateContent>
  <xr:revisionPtr revIDLastSave="0" documentId="13_ncr:1_{73C12A9B-54B6-46C9-8483-60A58ADA3284}" xr6:coauthVersionLast="47" xr6:coauthVersionMax="47" xr10:uidLastSave="{00000000-0000-0000-0000-000000000000}"/>
  <bookViews>
    <workbookView xWindow="-110" yWindow="-110" windowWidth="38620" windowHeight="21220" activeTab="2" xr2:uid="{00000000-000D-0000-FFFF-FFFF00000000}"/>
  </bookViews>
  <sheets>
    <sheet name="1cent" sheetId="4" r:id="rId1"/>
    <sheet name="2cents" sheetId="5" r:id="rId2"/>
    <sheet name="5cents" sheetId="7" r:id="rId3"/>
    <sheet name="10cents" sheetId="8" r:id="rId4"/>
    <sheet name="20cents" sheetId="9" r:id="rId5"/>
    <sheet name="50cents" sheetId="10" r:id="rId6"/>
    <sheet name="1€" sheetId="11" r:id="rId7"/>
    <sheet name="2€" sheetId="12" r:id="rId8"/>
    <sheet name="Links" sheetId="6" r:id="rId9"/>
  </sheets>
  <definedNames>
    <definedName name="_xlnm._FilterDatabase" localSheetId="6" hidden="1">'1€'!$B$2:$F$2</definedName>
    <definedName name="_xlnm._FilterDatabase" localSheetId="3" hidden="1">'10cents'!$B$2:$F$2</definedName>
    <definedName name="_xlnm._FilterDatabase" localSheetId="0" hidden="1">'1cent'!$B$2:$E$2</definedName>
    <definedName name="_xlnm._FilterDatabase" localSheetId="7" hidden="1">'2€'!$B$2:$F$2</definedName>
    <definedName name="_xlnm._FilterDatabase" localSheetId="4" hidden="1">'20cents'!$B$2:$F$2</definedName>
    <definedName name="_xlnm._FilterDatabase" localSheetId="1" hidden="1">'2cents'!$B$2:$E$2</definedName>
    <definedName name="_xlnm._FilterDatabase" localSheetId="5" hidden="1">'50cents'!$B$2:$F$2</definedName>
    <definedName name="_xlnm._FilterDatabase" localSheetId="2" hidden="1">'5cents'!$B$2:$E$2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9" i="12" l="1"/>
  <c r="H28" i="12"/>
  <c r="H29" i="11"/>
  <c r="H28" i="11"/>
  <c r="H27" i="11"/>
  <c r="H29" i="10"/>
  <c r="H28" i="10"/>
  <c r="H27" i="10"/>
  <c r="H29" i="9"/>
  <c r="H28" i="9"/>
  <c r="H27" i="9"/>
  <c r="H29" i="8"/>
  <c r="H28" i="8"/>
  <c r="H27" i="8"/>
  <c r="G29" i="7"/>
  <c r="G28" i="7"/>
  <c r="G27" i="7"/>
  <c r="G29" i="5"/>
  <c r="G28" i="5"/>
  <c r="G27" i="5"/>
  <c r="G29" i="4"/>
  <c r="G28" i="4"/>
  <c r="G27" i="4"/>
  <c r="H27" i="12"/>
  <c r="G25" i="4"/>
  <c r="G26" i="4"/>
  <c r="G25" i="5"/>
  <c r="G26" i="5"/>
  <c r="G25" i="7"/>
  <c r="G26" i="7"/>
  <c r="H25" i="8"/>
  <c r="H26" i="8"/>
  <c r="H25" i="9"/>
  <c r="H26" i="9"/>
  <c r="H25" i="10"/>
  <c r="H26" i="10"/>
  <c r="H25" i="11"/>
  <c r="H26" i="11"/>
  <c r="H25" i="12"/>
  <c r="H26" i="12"/>
  <c r="H24" i="12"/>
  <c r="H24" i="11"/>
  <c r="H24" i="10"/>
  <c r="H24" i="9"/>
  <c r="H23" i="9"/>
  <c r="H24" i="8"/>
  <c r="G24" i="7"/>
  <c r="G23" i="7"/>
  <c r="G24" i="5"/>
  <c r="G23" i="5"/>
  <c r="G24" i="4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H6" i="12"/>
  <c r="H5" i="12"/>
  <c r="H4" i="12"/>
  <c r="H3" i="12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5" i="11"/>
  <c r="H4" i="11"/>
  <c r="H3" i="11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3" i="10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" i="9"/>
  <c r="H3" i="8"/>
  <c r="H4" i="8"/>
  <c r="H5" i="8"/>
  <c r="G3" i="4" l="1"/>
  <c r="G4" i="4"/>
  <c r="G5" i="4"/>
  <c r="H23" i="8" l="1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G20" i="7" l="1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Fábrica Nacional de Moneda y Timbre - Real Casa de la Moneda
(Royal Mint of Spain, Madrid)
</t>
        </r>
      </text>
    </comment>
    <comment ref="F2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 xml:space="preserve">Fábrica Nacional de Moneda y Timbre - Real Casa de la Moneda
(Royal Mint of Spain, Madrid)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Fábrica Nacional de Moneda y Timbre - Real Casa de la Moneda
(Royal Mint of Spain, Madrid)
</t>
        </r>
      </text>
    </comment>
    <comment ref="F2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 xml:space="preserve">Fábrica Nacional de Moneda y Timbre - Real Casa de la Moneda
(Royal Mint of Spain, Madrid)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Fábrica Nacional de Moneda y Timbre - Real Casa de la Moneda
(Royal Mint of Spain, Madrid)
</t>
        </r>
      </text>
    </comment>
    <comment ref="F2" authorId="0" shapeId="0" xr:uid="{00000000-0006-0000-0200-000002000000}">
      <text>
        <r>
          <rPr>
            <b/>
            <sz val="9"/>
            <color indexed="81"/>
            <rFont val="Tahoma"/>
            <family val="2"/>
            <charset val="204"/>
          </rPr>
          <t xml:space="preserve">Fábrica Nacional de Moneda y Timbre - Real Casa de la Moneda
(Royal Mint of Spain, Madrid)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2" authorId="0" shapeId="0" xr:uid="{00000000-0006-0000-03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Fábrica Nacional de Moneda y Timbre - Real Casa de la Moneda
(Royal Mint of Spain, Madrid)
</t>
        </r>
      </text>
    </comment>
    <comment ref="G2" authorId="0" shapeId="0" xr:uid="{00000000-0006-0000-0300-000002000000}">
      <text>
        <r>
          <rPr>
            <b/>
            <sz val="9"/>
            <color indexed="81"/>
            <rFont val="Tahoma"/>
            <family val="2"/>
            <charset val="204"/>
          </rPr>
          <t xml:space="preserve">Fábrica Nacional de Moneda y Timbre - Real Casa de la Moneda
(Royal Mint of Spain, Madrid)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2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Fábrica Nacional de Moneda y Timbre - Real Casa de la Moneda
(Royal Mint of Spain, Madrid)
</t>
        </r>
      </text>
    </comment>
    <comment ref="G2" authorId="0" shapeId="0" xr:uid="{00000000-0006-0000-0400-000002000000}">
      <text>
        <r>
          <rPr>
            <b/>
            <sz val="9"/>
            <color indexed="81"/>
            <rFont val="Tahoma"/>
            <family val="2"/>
            <charset val="204"/>
          </rPr>
          <t xml:space="preserve">Fábrica Nacional de Moneda y Timbre - Real Casa de la Moneda
(Royal Mint of Spain, Madrid)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2" authorId="0" shapeId="0" xr:uid="{00000000-0006-0000-05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Fábrica Nacional de Moneda y Timbre - Real Casa de la Moneda
(Royal Mint of Spain, Madrid)
</t>
        </r>
      </text>
    </comment>
    <comment ref="G2" authorId="0" shapeId="0" xr:uid="{00000000-0006-0000-0500-000002000000}">
      <text>
        <r>
          <rPr>
            <b/>
            <sz val="9"/>
            <color indexed="81"/>
            <rFont val="Tahoma"/>
            <family val="2"/>
            <charset val="204"/>
          </rPr>
          <t xml:space="preserve">Fábrica Nacional de Moneda y Timbre - Real Casa de la Moneda
(Royal Mint of Spain, Madrid)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2" authorId="0" shapeId="0" xr:uid="{00000000-0006-0000-06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Fábrica Nacional de Moneda y Timbre - Real Casa de la Moneda
(Royal Mint of Spain, Madrid)
</t>
        </r>
      </text>
    </comment>
    <comment ref="G2" authorId="0" shapeId="0" xr:uid="{00000000-0006-0000-0600-000002000000}">
      <text>
        <r>
          <rPr>
            <b/>
            <sz val="9"/>
            <color indexed="81"/>
            <rFont val="Tahoma"/>
            <family val="2"/>
            <charset val="204"/>
          </rPr>
          <t xml:space="preserve">Fábrica Nacional de Moneda y Timbre - Real Casa de la Moneda
(Royal Mint of Spain, Madrid)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2" authorId="0" shapeId="0" xr:uid="{00000000-0006-0000-07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Fábrica Nacional de Moneda y Timbre - Real Casa de la Moneda
(Royal Mint of Spain, Madrid)
</t>
        </r>
      </text>
    </comment>
    <comment ref="G2" authorId="0" shapeId="0" xr:uid="{00000000-0006-0000-0700-000002000000}">
      <text>
        <r>
          <rPr>
            <b/>
            <sz val="9"/>
            <color indexed="81"/>
            <rFont val="Tahoma"/>
            <family val="2"/>
            <charset val="204"/>
          </rPr>
          <t xml:space="preserve">Fábrica Nacional de Moneda y Timbre - Real Casa de la Moneda
(Royal Mint of Spain, Madrid)
</t>
        </r>
      </text>
    </comment>
  </commentList>
</comments>
</file>

<file path=xl/sharedStrings.xml><?xml version="1.0" encoding="utf-8"?>
<sst xmlns="http://schemas.openxmlformats.org/spreadsheetml/2006/main" count="1084" uniqueCount="216">
  <si>
    <t>Year</t>
  </si>
  <si>
    <t>Type</t>
  </si>
  <si>
    <t>Mintage</t>
  </si>
  <si>
    <t>1cent</t>
  </si>
  <si>
    <t>2cents</t>
  </si>
  <si>
    <t>5cents</t>
  </si>
  <si>
    <t>10cents</t>
  </si>
  <si>
    <t>Rev: old map of Europe</t>
  </si>
  <si>
    <t>Rev: new map of Europe</t>
  </si>
  <si>
    <t>20cents</t>
  </si>
  <si>
    <t>50cents</t>
  </si>
  <si>
    <t>1€</t>
  </si>
  <si>
    <t>2€</t>
  </si>
  <si>
    <t>№</t>
  </si>
  <si>
    <t>Link</t>
  </si>
  <si>
    <t>Description (single table, table set, mintage, prices):</t>
  </si>
  <si>
    <t>en.ucoin.net</t>
  </si>
  <si>
    <t>Middle convenience set of table with mintages and varieties</t>
  </si>
  <si>
    <t>Middle convenience single table with mintages</t>
  </si>
  <si>
    <t>euro-coins</t>
  </si>
  <si>
    <t>euro-coins.info</t>
  </si>
  <si>
    <t>Low convenience table of varities</t>
  </si>
  <si>
    <t>img-fotki.yandex</t>
  </si>
  <si>
    <t>Photo of coins</t>
  </si>
  <si>
    <t>eurocollection</t>
  </si>
  <si>
    <t>High convenience single table of varieties with photos</t>
  </si>
  <si>
    <t>High convenience set of tables table of actual coins with photos</t>
  </si>
  <si>
    <t>ES</t>
  </si>
  <si>
    <t>Obv: without 
strip along the edge</t>
  </si>
  <si>
    <t>Obv: with 
strip along the edge</t>
  </si>
  <si>
    <t>722.000.000</t>
  </si>
  <si>
    <t>81.100.000</t>
  </si>
  <si>
    <t>132.100.000</t>
  </si>
  <si>
    <t>141.200.000</t>
  </si>
  <si>
    <t>670.500.000</t>
  </si>
  <si>
    <t>206.700.000</t>
  </si>
  <si>
    <t>444.200.000</t>
  </si>
  <si>
    <t>383.900.000</t>
  </si>
  <si>
    <t>384.300.000</t>
  </si>
  <si>
    <t>374.700.000</t>
  </si>
  <si>
    <t>131.500.000</t>
  </si>
  <si>
    <t>227.400.000</t>
  </si>
  <si>
    <t>339.300.000</t>
  </si>
  <si>
    <t>400.600.000</t>
  </si>
  <si>
    <t>297.500.000</t>
  </si>
  <si>
    <t>65.000.000</t>
  </si>
  <si>
    <t>476.800.000</t>
  </si>
  <si>
    <t>437.900.000</t>
  </si>
  <si>
    <t>519.600.000</t>
  </si>
  <si>
    <t>291.600.000</t>
  </si>
  <si>
    <t>711.700.000</t>
  </si>
  <si>
    <t>462.700.000</t>
  </si>
  <si>
    <t>4.200.000</t>
  </si>
  <si>
    <t>31.600.000</t>
  </si>
  <si>
    <t>206.600.000</t>
  </si>
  <si>
    <t>275.100.000</t>
  </si>
  <si>
    <t>262.000.000</t>
  </si>
  <si>
    <t>185.500.000</t>
  </si>
  <si>
    <t>192.400.000</t>
  </si>
  <si>
    <t>169.100.000</t>
  </si>
  <si>
    <t>153.200.000</t>
  </si>
  <si>
    <t>96.600.000</t>
  </si>
  <si>
    <t>99.600.000</t>
  </si>
  <si>
    <t>200.600.000</t>
  </si>
  <si>
    <t>19.400.000</t>
  </si>
  <si>
    <t>162.800.000</t>
  </si>
  <si>
    <t>230.100.000</t>
  </si>
  <si>
    <t>311.800.000</t>
  </si>
  <si>
    <t>223.100.000</t>
  </si>
  <si>
    <t>483.500.000</t>
  </si>
  <si>
    <t>399.900.000</t>
  </si>
  <si>
    <t>216.000.000</t>
  </si>
  <si>
    <t>8.300.000</t>
  </si>
  <si>
    <t>327.600.000</t>
  </si>
  <si>
    <t>258.700.000</t>
  </si>
  <si>
    <t>411.400.000</t>
  </si>
  <si>
    <t>143.200.000</t>
  </si>
  <si>
    <t>247.200.000</t>
  </si>
  <si>
    <t>239.200.000</t>
  </si>
  <si>
    <t>227.800.000</t>
  </si>
  <si>
    <t>203.200.000</t>
  </si>
  <si>
    <t>97.200.000</t>
  </si>
  <si>
    <t>49.800.000</t>
  </si>
  <si>
    <t>9.800.000</t>
  </si>
  <si>
    <t>119.900.000</t>
  </si>
  <si>
    <t>55.300.000</t>
  </si>
  <si>
    <t>310.200.000</t>
  </si>
  <si>
    <t>249.800.000</t>
  </si>
  <si>
    <t>588.000.000</t>
  </si>
  <si>
    <t>242.300.000</t>
  </si>
  <si>
    <t>161.700.000</t>
  </si>
  <si>
    <t>113.200.000</t>
  </si>
  <si>
    <t>292.500.000</t>
  </si>
  <si>
    <t>121.900.000</t>
  </si>
  <si>
    <t>321.400.000</t>
  </si>
  <si>
    <t>91.800.000</t>
  </si>
  <si>
    <t>132.700.000</t>
  </si>
  <si>
    <t>142.400.000</t>
  </si>
  <si>
    <t>151.400.000</t>
  </si>
  <si>
    <t>105.000.000</t>
  </si>
  <si>
    <t>4.500.000</t>
  </si>
  <si>
    <t>3.700.000</t>
  </si>
  <si>
    <t>3.300.000</t>
  </si>
  <si>
    <t>80.100.000</t>
  </si>
  <si>
    <t>4.000.000</t>
  </si>
  <si>
    <t>77.200.000</t>
  </si>
  <si>
    <t>134.600.000</t>
  </si>
  <si>
    <t>761.400.000</t>
  </si>
  <si>
    <t>30.200.000</t>
  </si>
  <si>
    <t>146.500.000</t>
  </si>
  <si>
    <t>91.600.000</t>
  </si>
  <si>
    <t>4.100.000</t>
  </si>
  <si>
    <t>3.900.000</t>
  </si>
  <si>
    <t>104.900.000</t>
  </si>
  <si>
    <t>46.400.000</t>
  </si>
  <si>
    <t>102.300.000</t>
  </si>
  <si>
    <t>77.500.000</t>
  </si>
  <si>
    <t>26.200.000</t>
  </si>
  <si>
    <t>29.600.000</t>
  </si>
  <si>
    <t>79.100.000</t>
  </si>
  <si>
    <t>112.500.000</t>
  </si>
  <si>
    <t>371.000.000</t>
  </si>
  <si>
    <t>519.700.000</t>
  </si>
  <si>
    <t>350.900.000</t>
  </si>
  <si>
    <t>9.900.000</t>
  </si>
  <si>
    <t>6.000.000</t>
  </si>
  <si>
    <t>4.400.000</t>
  </si>
  <si>
    <t>3.800.000</t>
  </si>
  <si>
    <t>72.800.000</t>
  </si>
  <si>
    <t>19.000.000</t>
  </si>
  <si>
    <t>100.200.000</t>
  </si>
  <si>
    <t>89.100.000</t>
  </si>
  <si>
    <t>259.300.000</t>
  </si>
  <si>
    <t>335.600.000</t>
  </si>
  <si>
    <t>297.400.000</t>
  </si>
  <si>
    <t>98.700.000</t>
  </si>
  <si>
    <t>77.800.000</t>
  </si>
  <si>
    <t>101.600.000</t>
  </si>
  <si>
    <t>150.600.000</t>
  </si>
  <si>
    <t>154.500.000</t>
  </si>
  <si>
    <t>60.600.000</t>
  </si>
  <si>
    <t>40.100.000</t>
  </si>
  <si>
    <t>100.500.000</t>
  </si>
  <si>
    <t>3.400.000</t>
  </si>
  <si>
    <t>15.300.000</t>
  </si>
  <si>
    <t>4.300.000</t>
  </si>
  <si>
    <t>111.100.000</t>
  </si>
  <si>
    <t>122.700.000</t>
  </si>
  <si>
    <t>60.500.000</t>
  </si>
  <si>
    <t>36.600.000</t>
  </si>
  <si>
    <t>140.100.000</t>
  </si>
  <si>
    <t>163.000.000</t>
  </si>
  <si>
    <t>45.500.000</t>
  </si>
  <si>
    <t>19.500.000</t>
  </si>
  <si>
    <t>17.500.000</t>
  </si>
  <si>
    <t>3.600.000</t>
  </si>
  <si>
    <t>4.700.000</t>
  </si>
  <si>
    <t>500.000</t>
  </si>
  <si>
    <t>300.000</t>
  </si>
  <si>
    <t>Obv: With mint logo - "M"</t>
  </si>
  <si>
    <t>Obv: Cathedral of Santiago de Compostella</t>
  </si>
  <si>
    <t>Obv: Miguel de Cervantes</t>
  </si>
  <si>
    <t>Obv: Juan Carlos I</t>
  </si>
  <si>
    <t>Obv: Felipe VI</t>
  </si>
  <si>
    <t>324.900.000</t>
  </si>
  <si>
    <t>194.900.000</t>
  </si>
  <si>
    <t>210.200.000</t>
  </si>
  <si>
    <t>236.800.000</t>
  </si>
  <si>
    <t>236.200.000</t>
  </si>
  <si>
    <t>213.000.000</t>
  </si>
  <si>
    <t>71.100.000</t>
  </si>
  <si>
    <t>56.000.000</t>
  </si>
  <si>
    <t>46.000.000</t>
  </si>
  <si>
    <t>137.700.000</t>
  </si>
  <si>
    <t>49.700.000</t>
  </si>
  <si>
    <t>119.500.000</t>
  </si>
  <si>
    <t>222.000.000</t>
  </si>
  <si>
    <t>317.900.000</t>
  </si>
  <si>
    <t>68.500.000</t>
  </si>
  <si>
    <t>107.200.000</t>
  </si>
  <si>
    <t>122.300.000</t>
  </si>
  <si>
    <t>97.300.000</t>
  </si>
  <si>
    <t>96.800.000</t>
  </si>
  <si>
    <t>78.500.000</t>
  </si>
  <si>
    <t>94.900.000</t>
  </si>
  <si>
    <t>29.100.000</t>
  </si>
  <si>
    <t>26.100.000</t>
  </si>
  <si>
    <t>10.700.000</t>
  </si>
  <si>
    <t>26.400.000</t>
  </si>
  <si>
    <t>152.000.000</t>
  </si>
  <si>
    <t>108.900.000</t>
  </si>
  <si>
    <t>94.300.000</t>
  </si>
  <si>
    <t>10.800.000</t>
  </si>
  <si>
    <t>3.000.000</t>
  </si>
  <si>
    <t>1.000.000</t>
  </si>
  <si>
    <t>Subject</t>
  </si>
  <si>
    <t xml:space="preserve"> </t>
  </si>
  <si>
    <t>Subtype_2#Special_marks_1</t>
  </si>
  <si>
    <t>Subtype_1#Special_distinctions_1</t>
  </si>
  <si>
    <t>Subtype_3#Map_of_Europe</t>
  </si>
  <si>
    <t>77.713.500</t>
  </si>
  <si>
    <t>235.411.500</t>
  </si>
  <si>
    <t>178.813.500</t>
  </si>
  <si>
    <t>177.911.500</t>
  </si>
  <si>
    <t>137.013.500</t>
  </si>
  <si>
    <t>93.811.500</t>
  </si>
  <si>
    <t>114.113.500</t>
  </si>
  <si>
    <t>70.711.500</t>
  </si>
  <si>
    <t>60.813.500</t>
  </si>
  <si>
    <t>74.011.500</t>
  </si>
  <si>
    <t>19.613.500</t>
  </si>
  <si>
    <t>44.411.500</t>
  </si>
  <si>
    <t>118.413.500</t>
  </si>
  <si>
    <t>155.111.500</t>
  </si>
  <si>
    <t>1.013.500</t>
  </si>
  <si>
    <t>911.500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</si>
</sst>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€-1];[Red]\-#,##0\ [$€-1]"/>
  </numFmts>
  <fonts count="8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b/>
      <sz val="9"/>
      <color indexed="81"/>
      <name val="Tahoma"/>
      <family val="2"/>
      <charset val="204"/>
    </font>
    <font>
      <sz val="11"/>
      <name val="Calibri"/>
      <family val="2"/>
      <charset val="204"/>
      <scheme val="minor"/>
    </font>
    <font>
      <sz val="11"/>
      <color rgb="FFC00000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11"/>
      <name val="Calibri"/>
      <family val="2"/>
      <charset val="204"/>
    </font>
    <font>
      <sz val="8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6C3A0"/>
        <bgColor indexed="64"/>
      </patternFill>
    </fill>
    <fill>
      <patternFill patternType="solid">
        <fgColor rgb="FFFAD9C2"/>
        <bgColor indexed="64"/>
      </patternFill>
    </fill>
    <fill>
      <patternFill patternType="solid">
        <fgColor rgb="FFF1955D"/>
        <bgColor rgb="FF000000"/>
      </patternFill>
    </fill>
    <fill>
      <patternFill patternType="solid">
        <fgColor rgb="FFF3B285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medium">
        <color auto="1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1" xfId="0" applyBorder="1" applyAlignment="1">
      <alignment horizontal="center"/>
    </xf>
    <xf numFmtId="0" fontId="1" fillId="0" borderId="0" xfId="1"/>
    <xf numFmtId="0" fontId="0" fillId="0" borderId="1" xfId="0" applyFont="1" applyBorder="1" applyAlignment="1">
      <alignment horizontal="center"/>
    </xf>
    <xf numFmtId="0" fontId="4" fillId="0" borderId="0" xfId="1" applyFont="1" applyAlignment="1">
      <alignment horizontal="center" vertical="center"/>
    </xf>
    <xf numFmtId="0" fontId="0" fillId="0" borderId="0" xfId="0" applyFont="1" applyAlignment="1"/>
    <xf numFmtId="0" fontId="1" fillId="0" borderId="0" xfId="0" applyFont="1"/>
    <xf numFmtId="3" fontId="3" fillId="2" borderId="2" xfId="0" applyNumberFormat="1" applyFont="1" applyFill="1" applyBorder="1" applyAlignment="1">
      <alignment horizontal="center" vertical="center"/>
    </xf>
    <xf numFmtId="3" fontId="3" fillId="3" borderId="2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/>
    </xf>
    <xf numFmtId="3" fontId="3" fillId="5" borderId="2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3" fontId="3" fillId="5" borderId="2" xfId="0" applyNumberFormat="1" applyFont="1" applyFill="1" applyBorder="1" applyAlignment="1">
      <alignment horizontal="center" vertical="center" shrinkToFit="1"/>
    </xf>
    <xf numFmtId="3" fontId="3" fillId="2" borderId="2" xfId="0" applyNumberFormat="1" applyFont="1" applyFill="1" applyBorder="1" applyAlignment="1">
      <alignment horizontal="center" vertical="center" shrinkToFit="1"/>
    </xf>
    <xf numFmtId="3" fontId="3" fillId="3" borderId="2" xfId="0" applyNumberFormat="1" applyFont="1" applyFill="1" applyBorder="1" applyAlignment="1">
      <alignment horizontal="center" vertical="center" shrinkToFit="1"/>
    </xf>
    <xf numFmtId="49" fontId="1" fillId="0" borderId="0" xfId="0" applyNumberFormat="1" applyFont="1"/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0" fillId="0" borderId="0" xfId="0" applyAlignment="1">
      <alignment horizontal="center" vertical="center"/>
    </xf>
    <xf numFmtId="0" fontId="5" fillId="0" borderId="0" xfId="2" applyAlignment="1">
      <alignment horizontal="center" vertic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49" fontId="6" fillId="4" borderId="2" xfId="0" applyNumberFormat="1" applyFont="1" applyFill="1" applyBorder="1" applyAlignment="1">
      <alignment horizontal="center" vertical="center" shrinkToFit="1"/>
    </xf>
    <xf numFmtId="0" fontId="6" fillId="4" borderId="2" xfId="0" applyFont="1" applyFill="1" applyBorder="1" applyAlignment="1">
      <alignment horizontal="center" vertical="center" shrinkToFit="1"/>
    </xf>
    <xf numFmtId="3" fontId="3" fillId="2" borderId="7" xfId="0" applyNumberFormat="1" applyFont="1" applyFill="1" applyBorder="1" applyAlignment="1">
      <alignment horizontal="center" vertical="center" shrinkToFit="1"/>
    </xf>
    <xf numFmtId="164" fontId="0" fillId="0" borderId="0" xfId="0" applyNumberFormat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6" fillId="4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</cellXfs>
  <cellStyles count="3">
    <cellStyle name="Гиперссылка" xfId="2" builtinId="8"/>
    <cellStyle name="Обычный" xfId="0" builtinId="0"/>
    <cellStyle name="Обычный 2" xfId="1" xr:uid="{00000000-0005-0000-0000-000002000000}"/>
  </cellStyles>
  <dxfs count="40"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</dxfs>
  <tableStyles count="0" defaultTableStyle="TableStyleMedium2" defaultPivotStyle="PivotStyleLight16"/>
  <colors>
    <mruColors>
      <color rgb="FFF3B285"/>
      <color rgb="FFF1955D"/>
      <color rgb="FFF9D3B9"/>
      <color rgb="FFFAD9C2"/>
      <color rgb="FFF6C3A0"/>
      <color rgb="FFF5B8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" displayName="Таблица4" ref="A1:C7" totalsRowShown="0">
  <autoFilter ref="A1:C7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2"/>
    <tableColumn id="2" xr3:uid="{00000000-0010-0000-0000-000002000000}" name="Link" dataDxfId="1" dataCellStyle="Гиперссылка"/>
    <tableColumn id="3" xr3:uid="{00000000-0010-0000-0000-000003000000}" name="Description (single table, table set, mintage, prices):" dataDxfId="0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uro-coins.info/images/files/Tablitsa_raznovidnostey_monet_evro_UNC.pdf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www.euro-coins.info/info/mintage/spain.html" TargetMode="External"/><Relationship Id="rId1" Type="http://schemas.openxmlformats.org/officeDocument/2006/relationships/hyperlink" Target="https://en.ucoin.net/catalog/?country=spain" TargetMode="External"/><Relationship Id="rId6" Type="http://schemas.openxmlformats.org/officeDocument/2006/relationships/hyperlink" Target="http://www.eurocollection.co.uk/Variants.html" TargetMode="External"/><Relationship Id="rId5" Type="http://schemas.openxmlformats.org/officeDocument/2006/relationships/hyperlink" Target="http://www.eurocollection.co.uk/" TargetMode="External"/><Relationship Id="rId4" Type="http://schemas.openxmlformats.org/officeDocument/2006/relationships/hyperlink" Target="https://img-fotki.yandex.ru/get/6522/3621775.137/0_8f474_244963fb_ori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workbookViewId="0">
      <pane xSplit="8" ySplit="2" topLeftCell="I3" activePane="bottomRight" state="frozen"/>
      <selection pane="topRight" activeCell="I1" sqref="I1"/>
      <selection pane="bottomLeft" activeCell="A3" sqref="A3"/>
      <selection pane="bottomRight" activeCell="D40" sqref="D40"/>
    </sheetView>
  </sheetViews>
  <sheetFormatPr defaultRowHeight="15" customHeight="1" x14ac:dyDescent="0.35"/>
  <cols>
    <col min="1" max="1" width="5.6328125" style="5" customWidth="1"/>
    <col min="2" max="2" width="50.6328125" style="5" customWidth="1"/>
    <col min="3" max="4" width="33.6328125" style="5" customWidth="1"/>
    <col min="5" max="5" width="12.6328125" style="5" customWidth="1"/>
    <col min="6" max="6" width="3.6328125" style="5" customWidth="1"/>
    <col min="7" max="7" width="12.6328125" style="5" customWidth="1"/>
  </cols>
  <sheetData>
    <row r="1" spans="1:9" ht="15" customHeight="1" x14ac:dyDescent="0.35">
      <c r="A1" s="32" t="s">
        <v>0</v>
      </c>
      <c r="B1" s="31"/>
      <c r="C1" s="34" t="s">
        <v>1</v>
      </c>
      <c r="D1" s="35"/>
      <c r="E1" s="9" t="s">
        <v>2</v>
      </c>
      <c r="F1" s="24" t="s">
        <v>3</v>
      </c>
      <c r="G1" s="2"/>
    </row>
    <row r="2" spans="1:9" ht="15" customHeight="1" x14ac:dyDescent="0.35">
      <c r="A2" s="33"/>
      <c r="B2" s="31" t="s">
        <v>195</v>
      </c>
      <c r="C2" s="8" t="s">
        <v>198</v>
      </c>
      <c r="D2" s="8" t="s">
        <v>197</v>
      </c>
      <c r="E2" s="10" t="s">
        <v>27</v>
      </c>
      <c r="F2" s="8" t="s">
        <v>27</v>
      </c>
      <c r="G2" s="2"/>
    </row>
    <row r="3" spans="1:9" ht="15" customHeight="1" x14ac:dyDescent="0.35">
      <c r="A3" s="11">
        <v>1999</v>
      </c>
      <c r="B3" s="12" t="s">
        <v>160</v>
      </c>
      <c r="C3" s="13" t="s">
        <v>29</v>
      </c>
      <c r="D3" s="25" t="s">
        <v>159</v>
      </c>
      <c r="E3" s="14" t="s">
        <v>30</v>
      </c>
      <c r="F3" s="27">
        <v>1</v>
      </c>
      <c r="G3" s="4" t="str">
        <f t="shared" ref="G3:G29" si="0">IF(OR(AND(F3&gt;1,F3&lt;&gt;"-")),"Can exchange","")</f>
        <v/>
      </c>
    </row>
    <row r="4" spans="1:9" ht="15" customHeight="1" x14ac:dyDescent="0.35">
      <c r="A4" s="11">
        <v>2000</v>
      </c>
      <c r="B4" s="12" t="s">
        <v>160</v>
      </c>
      <c r="C4" s="13" t="s">
        <v>29</v>
      </c>
      <c r="D4" s="25" t="s">
        <v>159</v>
      </c>
      <c r="E4" s="14" t="s">
        <v>31</v>
      </c>
      <c r="F4" s="28">
        <v>1</v>
      </c>
      <c r="G4" s="4" t="str">
        <f t="shared" si="0"/>
        <v/>
      </c>
    </row>
    <row r="5" spans="1:9" ht="15" customHeight="1" x14ac:dyDescent="0.35">
      <c r="A5" s="11">
        <v>2001</v>
      </c>
      <c r="B5" s="12" t="s">
        <v>160</v>
      </c>
      <c r="C5" s="13" t="s">
        <v>29</v>
      </c>
      <c r="D5" s="25" t="s">
        <v>159</v>
      </c>
      <c r="E5" s="14" t="s">
        <v>32</v>
      </c>
      <c r="F5" s="28">
        <v>1</v>
      </c>
      <c r="G5" s="4" t="str">
        <f t="shared" si="0"/>
        <v/>
      </c>
    </row>
    <row r="6" spans="1:9" ht="15" customHeight="1" x14ac:dyDescent="0.35">
      <c r="A6" s="11">
        <v>2002</v>
      </c>
      <c r="B6" s="12" t="s">
        <v>160</v>
      </c>
      <c r="C6" s="13" t="s">
        <v>29</v>
      </c>
      <c r="D6" s="25" t="s">
        <v>159</v>
      </c>
      <c r="E6" s="14" t="s">
        <v>33</v>
      </c>
      <c r="F6" s="28">
        <v>1</v>
      </c>
      <c r="G6" s="4" t="str">
        <f t="shared" si="0"/>
        <v/>
      </c>
      <c r="I6" s="6"/>
    </row>
    <row r="7" spans="1:9" ht="15" customHeight="1" x14ac:dyDescent="0.35">
      <c r="A7" s="11">
        <v>2003</v>
      </c>
      <c r="B7" s="12" t="s">
        <v>160</v>
      </c>
      <c r="C7" s="13" t="s">
        <v>29</v>
      </c>
      <c r="D7" s="25" t="s">
        <v>159</v>
      </c>
      <c r="E7" s="14" t="s">
        <v>34</v>
      </c>
      <c r="F7" s="28">
        <v>2</v>
      </c>
      <c r="G7" s="4" t="str">
        <f t="shared" si="0"/>
        <v>Can exchange</v>
      </c>
      <c r="I7" s="6"/>
    </row>
    <row r="8" spans="1:9" ht="15" customHeight="1" thickBot="1" x14ac:dyDescent="0.4">
      <c r="A8" s="11">
        <v>2004</v>
      </c>
      <c r="B8" s="12" t="s">
        <v>160</v>
      </c>
      <c r="C8" s="13" t="s">
        <v>29</v>
      </c>
      <c r="D8" s="25" t="s">
        <v>159</v>
      </c>
      <c r="E8" s="14" t="s">
        <v>35</v>
      </c>
      <c r="F8" s="30">
        <v>2</v>
      </c>
      <c r="G8" s="4" t="str">
        <f t="shared" si="0"/>
        <v>Can exchange</v>
      </c>
    </row>
    <row r="9" spans="1:9" ht="15" customHeight="1" x14ac:dyDescent="0.35">
      <c r="A9" s="11">
        <v>2005</v>
      </c>
      <c r="B9" s="12" t="s">
        <v>160</v>
      </c>
      <c r="C9" s="13" t="s">
        <v>29</v>
      </c>
      <c r="D9" s="25" t="s">
        <v>159</v>
      </c>
      <c r="E9" s="14" t="s">
        <v>36</v>
      </c>
      <c r="F9" s="27">
        <v>2</v>
      </c>
      <c r="G9" s="4" t="str">
        <f t="shared" si="0"/>
        <v>Can exchange</v>
      </c>
    </row>
    <row r="10" spans="1:9" ht="15" customHeight="1" x14ac:dyDescent="0.35">
      <c r="A10" s="11">
        <v>2006</v>
      </c>
      <c r="B10" s="12" t="s">
        <v>160</v>
      </c>
      <c r="C10" s="13" t="s">
        <v>29</v>
      </c>
      <c r="D10" s="25" t="s">
        <v>159</v>
      </c>
      <c r="E10" s="14" t="s">
        <v>37</v>
      </c>
      <c r="F10" s="28">
        <v>2</v>
      </c>
      <c r="G10" s="4" t="str">
        <f t="shared" si="0"/>
        <v>Can exchange</v>
      </c>
    </row>
    <row r="11" spans="1:9" ht="15" customHeight="1" x14ac:dyDescent="0.35">
      <c r="A11" s="11">
        <v>2007</v>
      </c>
      <c r="B11" s="12" t="s">
        <v>160</v>
      </c>
      <c r="C11" s="13" t="s">
        <v>29</v>
      </c>
      <c r="D11" s="25" t="s">
        <v>159</v>
      </c>
      <c r="E11" s="14" t="s">
        <v>38</v>
      </c>
      <c r="F11" s="28">
        <v>2</v>
      </c>
      <c r="G11" s="4" t="str">
        <f t="shared" si="0"/>
        <v>Can exchange</v>
      </c>
    </row>
    <row r="12" spans="1:9" ht="15" customHeight="1" x14ac:dyDescent="0.35">
      <c r="A12" s="11">
        <v>2008</v>
      </c>
      <c r="B12" s="12" t="s">
        <v>160</v>
      </c>
      <c r="C12" s="13" t="s">
        <v>29</v>
      </c>
      <c r="D12" s="25" t="s">
        <v>159</v>
      </c>
      <c r="E12" s="14" t="s">
        <v>39</v>
      </c>
      <c r="F12" s="28">
        <v>3</v>
      </c>
      <c r="G12" s="4" t="str">
        <f t="shared" si="0"/>
        <v>Can exchange</v>
      </c>
    </row>
    <row r="13" spans="1:9" ht="15" customHeight="1" x14ac:dyDescent="0.35">
      <c r="A13" s="11">
        <v>2009</v>
      </c>
      <c r="B13" s="12" t="s">
        <v>160</v>
      </c>
      <c r="C13" s="13" t="s">
        <v>29</v>
      </c>
      <c r="D13" s="25" t="s">
        <v>159</v>
      </c>
      <c r="E13" s="14" t="s">
        <v>40</v>
      </c>
      <c r="F13" s="28">
        <v>1</v>
      </c>
      <c r="G13" s="4" t="str">
        <f t="shared" si="0"/>
        <v/>
      </c>
    </row>
    <row r="14" spans="1:9" ht="15" customHeight="1" thickBot="1" x14ac:dyDescent="0.4">
      <c r="A14" s="11">
        <v>2010</v>
      </c>
      <c r="B14" s="12" t="s">
        <v>160</v>
      </c>
      <c r="C14" s="13" t="s">
        <v>28</v>
      </c>
      <c r="D14" s="25" t="s">
        <v>159</v>
      </c>
      <c r="E14" s="14" t="s">
        <v>41</v>
      </c>
      <c r="F14" s="29">
        <v>2</v>
      </c>
      <c r="G14" s="4" t="str">
        <f t="shared" si="0"/>
        <v>Can exchange</v>
      </c>
    </row>
    <row r="15" spans="1:9" ht="15" customHeight="1" x14ac:dyDescent="0.35">
      <c r="A15" s="11">
        <v>2011</v>
      </c>
      <c r="B15" s="12" t="s">
        <v>160</v>
      </c>
      <c r="C15" s="13" t="s">
        <v>28</v>
      </c>
      <c r="D15" s="25" t="s">
        <v>159</v>
      </c>
      <c r="E15" s="14" t="s">
        <v>42</v>
      </c>
      <c r="F15" s="27">
        <v>2</v>
      </c>
      <c r="G15" s="4" t="str">
        <f t="shared" si="0"/>
        <v>Can exchange</v>
      </c>
    </row>
    <row r="16" spans="1:9" ht="15" customHeight="1" x14ac:dyDescent="0.35">
      <c r="A16" s="11">
        <v>2012</v>
      </c>
      <c r="B16" s="12" t="s">
        <v>160</v>
      </c>
      <c r="C16" s="13" t="s">
        <v>28</v>
      </c>
      <c r="D16" s="25" t="s">
        <v>159</v>
      </c>
      <c r="E16" s="14" t="s">
        <v>43</v>
      </c>
      <c r="F16" s="28">
        <v>3</v>
      </c>
      <c r="G16" s="4" t="str">
        <f t="shared" si="0"/>
        <v>Can exchange</v>
      </c>
    </row>
    <row r="17" spans="1:7" ht="15" customHeight="1" x14ac:dyDescent="0.35">
      <c r="A17" s="11">
        <v>2013</v>
      </c>
      <c r="B17" s="12" t="s">
        <v>160</v>
      </c>
      <c r="C17" s="13" t="s">
        <v>28</v>
      </c>
      <c r="D17" s="25" t="s">
        <v>159</v>
      </c>
      <c r="E17" s="14" t="s">
        <v>44</v>
      </c>
      <c r="F17" s="28">
        <v>2</v>
      </c>
      <c r="G17" s="4" t="str">
        <f t="shared" si="0"/>
        <v>Can exchange</v>
      </c>
    </row>
    <row r="18" spans="1:7" ht="15" customHeight="1" x14ac:dyDescent="0.35">
      <c r="A18" s="11">
        <v>2014</v>
      </c>
      <c r="B18" s="12" t="s">
        <v>160</v>
      </c>
      <c r="C18" s="13" t="s">
        <v>28</v>
      </c>
      <c r="D18" s="25" t="s">
        <v>159</v>
      </c>
      <c r="E18" s="14" t="s">
        <v>45</v>
      </c>
      <c r="F18" s="28">
        <v>2</v>
      </c>
      <c r="G18" s="4" t="str">
        <f t="shared" si="0"/>
        <v>Can exchange</v>
      </c>
    </row>
    <row r="19" spans="1:7" ht="15" customHeight="1" x14ac:dyDescent="0.35">
      <c r="A19" s="11">
        <v>2015</v>
      </c>
      <c r="B19" s="12" t="s">
        <v>160</v>
      </c>
      <c r="C19" s="13" t="s">
        <v>28</v>
      </c>
      <c r="D19" s="25" t="s">
        <v>159</v>
      </c>
      <c r="E19" s="14" t="s">
        <v>46</v>
      </c>
      <c r="F19" s="28">
        <v>2</v>
      </c>
      <c r="G19" s="4" t="str">
        <f t="shared" si="0"/>
        <v>Can exchange</v>
      </c>
    </row>
    <row r="20" spans="1:7" ht="15" customHeight="1" thickBot="1" x14ac:dyDescent="0.4">
      <c r="A20" s="11">
        <v>2016</v>
      </c>
      <c r="B20" s="12" t="s">
        <v>160</v>
      </c>
      <c r="C20" s="13" t="s">
        <v>28</v>
      </c>
      <c r="D20" s="25" t="s">
        <v>159</v>
      </c>
      <c r="E20" s="14" t="s">
        <v>47</v>
      </c>
      <c r="F20" s="29">
        <v>3</v>
      </c>
      <c r="G20" s="4" t="str">
        <f t="shared" si="0"/>
        <v>Can exchange</v>
      </c>
    </row>
    <row r="21" spans="1:7" ht="15" customHeight="1" x14ac:dyDescent="0.35">
      <c r="A21" s="11">
        <v>2017</v>
      </c>
      <c r="B21" s="12" t="s">
        <v>160</v>
      </c>
      <c r="C21" s="13" t="s">
        <v>28</v>
      </c>
      <c r="D21" s="25" t="s">
        <v>159</v>
      </c>
      <c r="E21" s="14" t="s">
        <v>48</v>
      </c>
      <c r="F21" s="1">
        <v>5</v>
      </c>
      <c r="G21" s="4" t="str">
        <f t="shared" si="0"/>
        <v>Can exchange</v>
      </c>
    </row>
    <row r="22" spans="1:7" ht="15" customHeight="1" x14ac:dyDescent="0.35">
      <c r="A22" s="11">
        <v>2018</v>
      </c>
      <c r="B22" s="12" t="s">
        <v>160</v>
      </c>
      <c r="C22" s="13" t="s">
        <v>28</v>
      </c>
      <c r="D22" s="25" t="s">
        <v>159</v>
      </c>
      <c r="E22" s="14" t="s">
        <v>177</v>
      </c>
      <c r="F22" s="1">
        <v>0</v>
      </c>
      <c r="G22" s="4" t="str">
        <f t="shared" si="0"/>
        <v/>
      </c>
    </row>
    <row r="23" spans="1:7" ht="15" customHeight="1" x14ac:dyDescent="0.35">
      <c r="A23" s="11">
        <v>2019</v>
      </c>
      <c r="B23" s="12" t="s">
        <v>160</v>
      </c>
      <c r="C23" s="13" t="s">
        <v>28</v>
      </c>
      <c r="D23" s="25" t="s">
        <v>159</v>
      </c>
      <c r="E23" s="14" t="s">
        <v>164</v>
      </c>
      <c r="F23" s="1">
        <v>0</v>
      </c>
      <c r="G23" s="4" t="str">
        <f t="shared" si="0"/>
        <v/>
      </c>
    </row>
    <row r="24" spans="1:7" ht="15" customHeight="1" x14ac:dyDescent="0.35">
      <c r="A24" s="11">
        <v>2020</v>
      </c>
      <c r="B24" s="12" t="s">
        <v>160</v>
      </c>
      <c r="C24" s="13" t="s">
        <v>28</v>
      </c>
      <c r="D24" s="25" t="s">
        <v>159</v>
      </c>
      <c r="E24" s="14" t="s">
        <v>165</v>
      </c>
      <c r="F24" s="1">
        <v>0</v>
      </c>
      <c r="G24" s="4" t="str">
        <f t="shared" si="0"/>
        <v/>
      </c>
    </row>
    <row r="25" spans="1:7" ht="15" customHeight="1" x14ac:dyDescent="0.35">
      <c r="A25" s="11">
        <v>2021</v>
      </c>
      <c r="B25" s="12" t="s">
        <v>160</v>
      </c>
      <c r="C25" s="13" t="s">
        <v>28</v>
      </c>
      <c r="D25" s="25" t="s">
        <v>159</v>
      </c>
      <c r="E25" s="14" t="s">
        <v>182</v>
      </c>
      <c r="F25" s="1">
        <v>0</v>
      </c>
      <c r="G25" s="4" t="str">
        <f t="shared" si="0"/>
        <v/>
      </c>
    </row>
    <row r="26" spans="1:7" ht="15" customHeight="1" x14ac:dyDescent="0.35">
      <c r="A26" s="11">
        <v>2022</v>
      </c>
      <c r="B26" s="12" t="s">
        <v>160</v>
      </c>
      <c r="C26" s="13" t="s">
        <v>28</v>
      </c>
      <c r="D26" s="25" t="s">
        <v>159</v>
      </c>
      <c r="E26" s="14" t="s">
        <v>189</v>
      </c>
      <c r="F26" s="1">
        <v>0</v>
      </c>
      <c r="G26" s="4" t="str">
        <f t="shared" si="0"/>
        <v/>
      </c>
    </row>
    <row r="27" spans="1:7" ht="15" customHeight="1" x14ac:dyDescent="0.35">
      <c r="A27" s="11">
        <v>2023</v>
      </c>
      <c r="B27" s="12" t="s">
        <v>160</v>
      </c>
      <c r="C27" s="13" t="s">
        <v>28</v>
      </c>
      <c r="D27" s="25" t="s">
        <v>159</v>
      </c>
      <c r="E27" s="14" t="s">
        <v>200</v>
      </c>
      <c r="F27" s="1">
        <v>0</v>
      </c>
      <c r="G27" s="4" t="str">
        <f t="shared" si="0"/>
        <v/>
      </c>
    </row>
    <row r="28" spans="1:7" ht="15" customHeight="1" x14ac:dyDescent="0.35">
      <c r="A28" s="11">
        <v>2024</v>
      </c>
      <c r="B28" s="12" t="s">
        <v>160</v>
      </c>
      <c r="C28" s="13" t="s">
        <v>28</v>
      </c>
      <c r="D28" s="25" t="s">
        <v>159</v>
      </c>
      <c r="E28" s="14" t="s">
        <v>201</v>
      </c>
      <c r="F28" s="1">
        <v>0</v>
      </c>
      <c r="G28" s="4" t="str">
        <f t="shared" si="0"/>
        <v/>
      </c>
    </row>
    <row r="29" spans="1:7" ht="15" customHeight="1" x14ac:dyDescent="0.35">
      <c r="A29" s="11">
        <v>2025</v>
      </c>
      <c r="B29" s="12" t="s">
        <v>160</v>
      </c>
      <c r="C29" s="13" t="s">
        <v>28</v>
      </c>
      <c r="D29" s="25" t="s">
        <v>159</v>
      </c>
      <c r="E29" s="14"/>
      <c r="F29" s="1">
        <v>0</v>
      </c>
      <c r="G29" s="4" t="str">
        <f t="shared" si="0"/>
        <v/>
      </c>
    </row>
  </sheetData>
  <autoFilter ref="B2:E2" xr:uid="{00000000-0001-0000-0000-000000000000}"/>
  <mergeCells count="2">
    <mergeCell ref="A1:A2"/>
    <mergeCell ref="C1:D1"/>
  </mergeCells>
  <phoneticPr fontId="7" type="noConversion"/>
  <conditionalFormatting sqref="F25 F3:F23">
    <cfRule type="containsText" dxfId="39" priority="7" operator="containsText" text="*-">
      <formula>NOT(ISERROR(SEARCH(("*-"),(F3))))</formula>
    </cfRule>
  </conditionalFormatting>
  <conditionalFormatting sqref="F3:F23 F25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4 F26">
    <cfRule type="containsText" dxfId="38" priority="5" operator="containsText" text="*-">
      <formula>NOT(ISERROR(SEARCH(("*-"),(F24))))</formula>
    </cfRule>
  </conditionalFormatting>
  <conditionalFormatting sqref="F26 F24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8">
    <cfRule type="containsText" dxfId="37" priority="3" operator="containsText" text="*-">
      <formula>NOT(ISERROR(SEARCH(("*-"),(F28))))</formula>
    </cfRule>
  </conditionalFormatting>
  <conditionalFormatting sqref="F28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7 F29">
    <cfRule type="containsText" dxfId="36" priority="1" operator="containsText" text="*-">
      <formula>NOT(ISERROR(SEARCH(("*-"),(F27))))</formula>
    </cfRule>
  </conditionalFormatting>
  <conditionalFormatting sqref="F29 F27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K19" sqref="K19"/>
    </sheetView>
  </sheetViews>
  <sheetFormatPr defaultRowHeight="15" customHeight="1" x14ac:dyDescent="0.35"/>
  <cols>
    <col min="1" max="1" width="5.6328125" style="5" customWidth="1"/>
    <col min="2" max="2" width="50.6328125" style="5" customWidth="1"/>
    <col min="3" max="4" width="33.6328125" style="5" customWidth="1"/>
    <col min="5" max="5" width="12.6328125" style="5" customWidth="1"/>
    <col min="6" max="6" width="3.6328125" style="5" customWidth="1"/>
    <col min="7" max="7" width="12.6328125" style="5" customWidth="1"/>
  </cols>
  <sheetData>
    <row r="1" spans="1:7" ht="15" customHeight="1" x14ac:dyDescent="0.35">
      <c r="A1" s="32" t="s">
        <v>0</v>
      </c>
      <c r="B1" s="31"/>
      <c r="C1" s="34" t="s">
        <v>1</v>
      </c>
      <c r="D1" s="35"/>
      <c r="E1" s="9" t="s">
        <v>2</v>
      </c>
      <c r="F1" s="24" t="s">
        <v>4</v>
      </c>
      <c r="G1" s="2"/>
    </row>
    <row r="2" spans="1:7" ht="15" customHeight="1" x14ac:dyDescent="0.35">
      <c r="A2" s="33"/>
      <c r="B2" s="31" t="s">
        <v>195</v>
      </c>
      <c r="C2" s="8" t="s">
        <v>198</v>
      </c>
      <c r="D2" s="8" t="s">
        <v>197</v>
      </c>
      <c r="E2" s="10" t="s">
        <v>27</v>
      </c>
      <c r="F2" s="8" t="s">
        <v>27</v>
      </c>
      <c r="G2" s="2"/>
    </row>
    <row r="3" spans="1:7" ht="15" customHeight="1" x14ac:dyDescent="0.35">
      <c r="A3" s="11">
        <v>1999</v>
      </c>
      <c r="B3" s="12" t="s">
        <v>160</v>
      </c>
      <c r="C3" s="13" t="s">
        <v>29</v>
      </c>
      <c r="D3" s="25" t="s">
        <v>159</v>
      </c>
      <c r="E3" s="14" t="s">
        <v>49</v>
      </c>
      <c r="F3" s="1">
        <v>0</v>
      </c>
      <c r="G3" s="4" t="str">
        <f t="shared" ref="G3:G20" si="0">IF(OR(AND(F3&gt;1,F3&lt;&gt;"-")),"Can exchange","")</f>
        <v/>
      </c>
    </row>
    <row r="4" spans="1:7" ht="15" customHeight="1" x14ac:dyDescent="0.35">
      <c r="A4" s="11">
        <v>2000</v>
      </c>
      <c r="B4" s="12" t="s">
        <v>160</v>
      </c>
      <c r="C4" s="13" t="s">
        <v>29</v>
      </c>
      <c r="D4" s="25" t="s">
        <v>159</v>
      </c>
      <c r="E4" s="14" t="s">
        <v>50</v>
      </c>
      <c r="F4" s="1">
        <v>4</v>
      </c>
      <c r="G4" s="4" t="str">
        <f t="shared" si="0"/>
        <v>Can exchange</v>
      </c>
    </row>
    <row r="5" spans="1:7" ht="15" customHeight="1" x14ac:dyDescent="0.35">
      <c r="A5" s="11">
        <v>2001</v>
      </c>
      <c r="B5" s="12" t="s">
        <v>160</v>
      </c>
      <c r="C5" s="13" t="s">
        <v>29</v>
      </c>
      <c r="D5" s="25" t="s">
        <v>159</v>
      </c>
      <c r="E5" s="14" t="s">
        <v>51</v>
      </c>
      <c r="F5" s="1">
        <v>2</v>
      </c>
      <c r="G5" s="4" t="str">
        <f t="shared" si="0"/>
        <v>Can exchange</v>
      </c>
    </row>
    <row r="6" spans="1:7" ht="15" customHeight="1" x14ac:dyDescent="0.35">
      <c r="A6" s="11">
        <v>2002</v>
      </c>
      <c r="B6" s="12" t="s">
        <v>160</v>
      </c>
      <c r="C6" s="13" t="s">
        <v>29</v>
      </c>
      <c r="D6" s="25" t="s">
        <v>159</v>
      </c>
      <c r="E6" s="14" t="s">
        <v>52</v>
      </c>
      <c r="F6" s="1">
        <v>0</v>
      </c>
      <c r="G6" s="4" t="str">
        <f t="shared" si="0"/>
        <v/>
      </c>
    </row>
    <row r="7" spans="1:7" ht="15" customHeight="1" x14ac:dyDescent="0.35">
      <c r="A7" s="11">
        <v>2003</v>
      </c>
      <c r="B7" s="12" t="s">
        <v>160</v>
      </c>
      <c r="C7" s="13" t="s">
        <v>29</v>
      </c>
      <c r="D7" s="25" t="s">
        <v>159</v>
      </c>
      <c r="E7" s="14" t="s">
        <v>53</v>
      </c>
      <c r="F7" s="1">
        <v>0</v>
      </c>
      <c r="G7" s="4" t="str">
        <f t="shared" si="0"/>
        <v/>
      </c>
    </row>
    <row r="8" spans="1:7" ht="15" customHeight="1" thickBot="1" x14ac:dyDescent="0.4">
      <c r="A8" s="11">
        <v>2004</v>
      </c>
      <c r="B8" s="12" t="s">
        <v>160</v>
      </c>
      <c r="C8" s="13" t="s">
        <v>29</v>
      </c>
      <c r="D8" s="25" t="s">
        <v>159</v>
      </c>
      <c r="E8" s="14" t="s">
        <v>54</v>
      </c>
      <c r="F8" s="29">
        <v>0</v>
      </c>
      <c r="G8" s="4" t="str">
        <f t="shared" si="0"/>
        <v/>
      </c>
    </row>
    <row r="9" spans="1:7" ht="15" customHeight="1" x14ac:dyDescent="0.35">
      <c r="A9" s="11">
        <v>2005</v>
      </c>
      <c r="B9" s="12" t="s">
        <v>160</v>
      </c>
      <c r="C9" s="13" t="s">
        <v>29</v>
      </c>
      <c r="D9" s="25" t="s">
        <v>159</v>
      </c>
      <c r="E9" s="14" t="s">
        <v>55</v>
      </c>
      <c r="F9" s="1">
        <v>1</v>
      </c>
      <c r="G9" s="4" t="str">
        <f t="shared" si="0"/>
        <v/>
      </c>
    </row>
    <row r="10" spans="1:7" ht="15" customHeight="1" x14ac:dyDescent="0.35">
      <c r="A10" s="11">
        <v>2006</v>
      </c>
      <c r="B10" s="12" t="s">
        <v>160</v>
      </c>
      <c r="C10" s="13" t="s">
        <v>29</v>
      </c>
      <c r="D10" s="25" t="s">
        <v>159</v>
      </c>
      <c r="E10" s="14" t="s">
        <v>56</v>
      </c>
      <c r="F10" s="1">
        <v>1</v>
      </c>
      <c r="G10" s="4" t="str">
        <f t="shared" si="0"/>
        <v/>
      </c>
    </row>
    <row r="11" spans="1:7" ht="15" customHeight="1" x14ac:dyDescent="0.35">
      <c r="A11" s="11">
        <v>2007</v>
      </c>
      <c r="B11" s="12" t="s">
        <v>160</v>
      </c>
      <c r="C11" s="13" t="s">
        <v>29</v>
      </c>
      <c r="D11" s="25" t="s">
        <v>159</v>
      </c>
      <c r="E11" s="14" t="s">
        <v>57</v>
      </c>
      <c r="F11" s="1">
        <v>1</v>
      </c>
      <c r="G11" s="4" t="str">
        <f t="shared" si="0"/>
        <v/>
      </c>
    </row>
    <row r="12" spans="1:7" ht="15" customHeight="1" x14ac:dyDescent="0.35">
      <c r="A12" s="11">
        <v>2008</v>
      </c>
      <c r="B12" s="12" t="s">
        <v>160</v>
      </c>
      <c r="C12" s="13" t="s">
        <v>29</v>
      </c>
      <c r="D12" s="25" t="s">
        <v>159</v>
      </c>
      <c r="E12" s="14" t="s">
        <v>58</v>
      </c>
      <c r="F12" s="1">
        <v>1</v>
      </c>
      <c r="G12" s="4" t="str">
        <f t="shared" si="0"/>
        <v/>
      </c>
    </row>
    <row r="13" spans="1:7" ht="15" customHeight="1" x14ac:dyDescent="0.35">
      <c r="A13" s="11">
        <v>2009</v>
      </c>
      <c r="B13" s="12" t="s">
        <v>160</v>
      </c>
      <c r="C13" s="13" t="s">
        <v>29</v>
      </c>
      <c r="D13" s="25" t="s">
        <v>159</v>
      </c>
      <c r="E13" s="14" t="s">
        <v>59</v>
      </c>
      <c r="F13" s="1">
        <v>1</v>
      </c>
      <c r="G13" s="4" t="str">
        <f t="shared" si="0"/>
        <v/>
      </c>
    </row>
    <row r="14" spans="1:7" ht="15" customHeight="1" thickBot="1" x14ac:dyDescent="0.4">
      <c r="A14" s="11">
        <v>2010</v>
      </c>
      <c r="B14" s="12" t="s">
        <v>160</v>
      </c>
      <c r="C14" s="13" t="s">
        <v>28</v>
      </c>
      <c r="D14" s="25" t="s">
        <v>159</v>
      </c>
      <c r="E14" s="14" t="s">
        <v>60</v>
      </c>
      <c r="F14" s="29">
        <v>1</v>
      </c>
      <c r="G14" s="4" t="str">
        <f t="shared" si="0"/>
        <v/>
      </c>
    </row>
    <row r="15" spans="1:7" ht="15" customHeight="1" x14ac:dyDescent="0.35">
      <c r="A15" s="11">
        <v>2011</v>
      </c>
      <c r="B15" s="12" t="s">
        <v>160</v>
      </c>
      <c r="C15" s="13" t="s">
        <v>28</v>
      </c>
      <c r="D15" s="25" t="s">
        <v>159</v>
      </c>
      <c r="E15" s="14" t="s">
        <v>61</v>
      </c>
      <c r="F15" s="1">
        <v>1</v>
      </c>
      <c r="G15" s="4" t="str">
        <f t="shared" si="0"/>
        <v/>
      </c>
    </row>
    <row r="16" spans="1:7" ht="15" customHeight="1" x14ac:dyDescent="0.35">
      <c r="A16" s="11">
        <v>2012</v>
      </c>
      <c r="B16" s="12" t="s">
        <v>160</v>
      </c>
      <c r="C16" s="13" t="s">
        <v>28</v>
      </c>
      <c r="D16" s="25" t="s">
        <v>159</v>
      </c>
      <c r="E16" s="14" t="s">
        <v>62</v>
      </c>
      <c r="F16" s="1">
        <v>2</v>
      </c>
      <c r="G16" s="4" t="str">
        <f t="shared" si="0"/>
        <v>Can exchange</v>
      </c>
    </row>
    <row r="17" spans="1:7" ht="15" customHeight="1" x14ac:dyDescent="0.35">
      <c r="A17" s="11">
        <v>2013</v>
      </c>
      <c r="B17" s="12" t="s">
        <v>160</v>
      </c>
      <c r="C17" s="13" t="s">
        <v>28</v>
      </c>
      <c r="D17" s="25" t="s">
        <v>159</v>
      </c>
      <c r="E17" s="14" t="s">
        <v>63</v>
      </c>
      <c r="F17" s="1">
        <v>2</v>
      </c>
      <c r="G17" s="4" t="str">
        <f t="shared" si="0"/>
        <v>Can exchange</v>
      </c>
    </row>
    <row r="18" spans="1:7" ht="15" customHeight="1" x14ac:dyDescent="0.35">
      <c r="A18" s="11">
        <v>2014</v>
      </c>
      <c r="B18" s="12" t="s">
        <v>160</v>
      </c>
      <c r="C18" s="13" t="s">
        <v>28</v>
      </c>
      <c r="D18" s="25" t="s">
        <v>159</v>
      </c>
      <c r="E18" s="14" t="s">
        <v>64</v>
      </c>
      <c r="F18" s="1">
        <v>0</v>
      </c>
      <c r="G18" s="4" t="str">
        <f t="shared" si="0"/>
        <v/>
      </c>
    </row>
    <row r="19" spans="1:7" ht="15" customHeight="1" x14ac:dyDescent="0.35">
      <c r="A19" s="11">
        <v>2015</v>
      </c>
      <c r="B19" s="12" t="s">
        <v>160</v>
      </c>
      <c r="C19" s="13" t="s">
        <v>28</v>
      </c>
      <c r="D19" s="25" t="s">
        <v>159</v>
      </c>
      <c r="E19" s="14" t="s">
        <v>65</v>
      </c>
      <c r="F19" s="1">
        <v>1</v>
      </c>
      <c r="G19" s="4" t="str">
        <f t="shared" si="0"/>
        <v/>
      </c>
    </row>
    <row r="20" spans="1:7" ht="15" customHeight="1" thickBot="1" x14ac:dyDescent="0.4">
      <c r="A20" s="11">
        <v>2016</v>
      </c>
      <c r="B20" s="12" t="s">
        <v>160</v>
      </c>
      <c r="C20" s="13" t="s">
        <v>28</v>
      </c>
      <c r="D20" s="25" t="s">
        <v>159</v>
      </c>
      <c r="E20" s="14" t="s">
        <v>66</v>
      </c>
      <c r="F20" s="29">
        <v>1</v>
      </c>
      <c r="G20" s="4" t="str">
        <f t="shared" si="0"/>
        <v/>
      </c>
    </row>
    <row r="21" spans="1:7" ht="15" customHeight="1" x14ac:dyDescent="0.35">
      <c r="A21" s="11">
        <v>2017</v>
      </c>
      <c r="B21" s="12" t="s">
        <v>160</v>
      </c>
      <c r="C21" s="13" t="s">
        <v>28</v>
      </c>
      <c r="D21" s="25" t="s">
        <v>159</v>
      </c>
      <c r="E21" s="14" t="s">
        <v>67</v>
      </c>
      <c r="F21" s="1">
        <v>1</v>
      </c>
    </row>
    <row r="22" spans="1:7" ht="15" customHeight="1" x14ac:dyDescent="0.35">
      <c r="A22" s="11">
        <v>2018</v>
      </c>
      <c r="B22" s="12" t="s">
        <v>160</v>
      </c>
      <c r="C22" s="13" t="s">
        <v>28</v>
      </c>
      <c r="D22" s="25" t="s">
        <v>159</v>
      </c>
      <c r="E22" s="14" t="s">
        <v>68</v>
      </c>
      <c r="F22" s="1">
        <v>0</v>
      </c>
    </row>
    <row r="23" spans="1:7" ht="15" customHeight="1" x14ac:dyDescent="0.35">
      <c r="A23" s="11">
        <v>2019</v>
      </c>
      <c r="B23" s="12" t="s">
        <v>160</v>
      </c>
      <c r="C23" s="13" t="s">
        <v>28</v>
      </c>
      <c r="D23" s="25" t="s">
        <v>159</v>
      </c>
      <c r="E23" s="14" t="s">
        <v>166</v>
      </c>
      <c r="F23" s="1">
        <v>0</v>
      </c>
      <c r="G23" s="4" t="str">
        <f t="shared" ref="G23:G24" si="1">IF(OR(AND(F23&gt;1,F23&lt;&gt;"-")),"Can exchange","")</f>
        <v/>
      </c>
    </row>
    <row r="24" spans="1:7" ht="15" customHeight="1" x14ac:dyDescent="0.35">
      <c r="A24" s="11">
        <v>2020</v>
      </c>
      <c r="B24" s="12" t="s">
        <v>160</v>
      </c>
      <c r="C24" s="13" t="s">
        <v>28</v>
      </c>
      <c r="D24" s="25" t="s">
        <v>159</v>
      </c>
      <c r="E24" s="14" t="s">
        <v>167</v>
      </c>
      <c r="F24" s="1">
        <v>0</v>
      </c>
      <c r="G24" s="4" t="str">
        <f t="shared" si="1"/>
        <v/>
      </c>
    </row>
    <row r="25" spans="1:7" ht="15" customHeight="1" x14ac:dyDescent="0.35">
      <c r="A25" s="11">
        <v>2021</v>
      </c>
      <c r="B25" s="12" t="s">
        <v>160</v>
      </c>
      <c r="C25" s="13" t="s">
        <v>28</v>
      </c>
      <c r="D25" s="25" t="s">
        <v>159</v>
      </c>
      <c r="E25" s="14" t="s">
        <v>183</v>
      </c>
      <c r="F25" s="1">
        <v>0</v>
      </c>
      <c r="G25" s="4" t="str">
        <f t="shared" ref="G25:G27" si="2">IF(OR(AND(F25&gt;1,F25&lt;&gt;"-")),"Can exchange","")</f>
        <v/>
      </c>
    </row>
    <row r="26" spans="1:7" ht="15" customHeight="1" thickBot="1" x14ac:dyDescent="0.4">
      <c r="A26" s="11">
        <v>2022</v>
      </c>
      <c r="B26" s="12" t="s">
        <v>160</v>
      </c>
      <c r="C26" s="13" t="s">
        <v>28</v>
      </c>
      <c r="D26" s="25" t="s">
        <v>159</v>
      </c>
      <c r="E26" s="14" t="s">
        <v>190</v>
      </c>
      <c r="F26" s="29">
        <v>0</v>
      </c>
      <c r="G26" s="4" t="str">
        <f t="shared" si="2"/>
        <v/>
      </c>
    </row>
    <row r="27" spans="1:7" ht="15" customHeight="1" x14ac:dyDescent="0.35">
      <c r="A27" s="11">
        <v>2023</v>
      </c>
      <c r="B27" s="12" t="s">
        <v>160</v>
      </c>
      <c r="C27" s="13" t="s">
        <v>28</v>
      </c>
      <c r="D27" s="25" t="s">
        <v>159</v>
      </c>
      <c r="E27" s="14" t="s">
        <v>202</v>
      </c>
      <c r="F27" s="1">
        <v>0</v>
      </c>
      <c r="G27" s="4" t="str">
        <f t="shared" si="2"/>
        <v/>
      </c>
    </row>
    <row r="28" spans="1:7" ht="15" customHeight="1" x14ac:dyDescent="0.35">
      <c r="A28" s="11">
        <v>2024</v>
      </c>
      <c r="B28" s="12" t="s">
        <v>160</v>
      </c>
      <c r="C28" s="13" t="s">
        <v>28</v>
      </c>
      <c r="D28" s="25" t="s">
        <v>159</v>
      </c>
      <c r="E28" s="14" t="s">
        <v>203</v>
      </c>
      <c r="F28" s="1">
        <v>0</v>
      </c>
      <c r="G28" s="4" t="str">
        <f t="shared" ref="G28:G29" si="3">IF(OR(AND(F28&gt;1,F28&lt;&gt;"-")),"Can exchange","")</f>
        <v/>
      </c>
    </row>
    <row r="29" spans="1:7" ht="15" customHeight="1" thickBot="1" x14ac:dyDescent="0.4">
      <c r="A29" s="11">
        <v>2025</v>
      </c>
      <c r="B29" s="12" t="s">
        <v>160</v>
      </c>
      <c r="C29" s="13" t="s">
        <v>28</v>
      </c>
      <c r="D29" s="25" t="s">
        <v>159</v>
      </c>
      <c r="E29" s="14"/>
      <c r="F29" s="29">
        <v>0</v>
      </c>
      <c r="G29" s="4" t="str">
        <f t="shared" si="3"/>
        <v/>
      </c>
    </row>
  </sheetData>
  <autoFilter ref="B2:E2" xr:uid="{00000000-0001-0000-0100-000000000000}"/>
  <mergeCells count="2">
    <mergeCell ref="A1:A2"/>
    <mergeCell ref="C1:D1"/>
  </mergeCells>
  <phoneticPr fontId="7" type="noConversion"/>
  <conditionalFormatting sqref="F3:F20">
    <cfRule type="containsText" dxfId="35" priority="9" operator="containsText" text="*-">
      <formula>NOT(ISERROR(SEARCH(("*-"),(F3))))</formula>
    </cfRule>
  </conditionalFormatting>
  <conditionalFormatting sqref="F3:F20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1:F26">
    <cfRule type="containsText" dxfId="34" priority="3" operator="containsText" text="*-">
      <formula>NOT(ISERROR(SEARCH(("*-"),(F21))))</formula>
    </cfRule>
  </conditionalFormatting>
  <conditionalFormatting sqref="F21:F26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7:F29">
    <cfRule type="containsText" dxfId="33" priority="1" operator="containsText" text="*-">
      <formula>NOT(ISERROR(SEARCH(("*-"),(F27))))</formula>
    </cfRule>
  </conditionalFormatting>
  <conditionalFormatting sqref="F27:F29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J12" sqref="J12"/>
    </sheetView>
  </sheetViews>
  <sheetFormatPr defaultRowHeight="15" customHeight="1" x14ac:dyDescent="0.35"/>
  <cols>
    <col min="1" max="1" width="5.6328125" style="5" customWidth="1"/>
    <col min="2" max="2" width="50.6328125" style="5" customWidth="1"/>
    <col min="3" max="4" width="33.6328125" style="5" customWidth="1"/>
    <col min="5" max="5" width="12.6328125" style="5" customWidth="1"/>
    <col min="6" max="6" width="3.6328125" style="5" customWidth="1"/>
    <col min="7" max="7" width="12.6328125" style="5" customWidth="1"/>
  </cols>
  <sheetData>
    <row r="1" spans="1:9" ht="15" customHeight="1" x14ac:dyDescent="0.35">
      <c r="A1" s="32" t="s">
        <v>0</v>
      </c>
      <c r="B1" s="31"/>
      <c r="C1" s="34" t="s">
        <v>1</v>
      </c>
      <c r="D1" s="35"/>
      <c r="E1" s="9" t="s">
        <v>2</v>
      </c>
      <c r="F1" s="24" t="s">
        <v>5</v>
      </c>
      <c r="G1" s="2"/>
    </row>
    <row r="2" spans="1:9" ht="15" customHeight="1" x14ac:dyDescent="0.35">
      <c r="A2" s="33"/>
      <c r="B2" s="31" t="s">
        <v>195</v>
      </c>
      <c r="C2" s="8" t="s">
        <v>198</v>
      </c>
      <c r="D2" s="8" t="s">
        <v>197</v>
      </c>
      <c r="E2" s="10" t="s">
        <v>27</v>
      </c>
      <c r="F2" s="8" t="s">
        <v>27</v>
      </c>
      <c r="G2" s="2"/>
    </row>
    <row r="3" spans="1:9" ht="15" customHeight="1" x14ac:dyDescent="0.35">
      <c r="A3" s="11">
        <v>1999</v>
      </c>
      <c r="B3" s="12" t="s">
        <v>160</v>
      </c>
      <c r="C3" s="13" t="s">
        <v>29</v>
      </c>
      <c r="D3" s="25" t="s">
        <v>159</v>
      </c>
      <c r="E3" s="14" t="s">
        <v>69</v>
      </c>
      <c r="F3" s="1">
        <v>1</v>
      </c>
      <c r="G3" s="4" t="str">
        <f t="shared" ref="G3:G20" si="0">IF(OR(AND(F3&gt;1,F3&lt;&gt;"-")),"Can exchange","")</f>
        <v/>
      </c>
      <c r="I3" s="6"/>
    </row>
    <row r="4" spans="1:9" ht="15" customHeight="1" x14ac:dyDescent="0.35">
      <c r="A4" s="11">
        <v>2000</v>
      </c>
      <c r="B4" s="12" t="s">
        <v>160</v>
      </c>
      <c r="C4" s="13" t="s">
        <v>29</v>
      </c>
      <c r="D4" s="25" t="s">
        <v>159</v>
      </c>
      <c r="E4" s="14" t="s">
        <v>70</v>
      </c>
      <c r="F4" s="1">
        <v>2</v>
      </c>
      <c r="G4" s="4" t="str">
        <f t="shared" si="0"/>
        <v>Can exchange</v>
      </c>
      <c r="I4" s="6"/>
    </row>
    <row r="5" spans="1:9" ht="15" customHeight="1" x14ac:dyDescent="0.35">
      <c r="A5" s="11">
        <v>2001</v>
      </c>
      <c r="B5" s="12" t="s">
        <v>160</v>
      </c>
      <c r="C5" s="13" t="s">
        <v>29</v>
      </c>
      <c r="D5" s="25" t="s">
        <v>159</v>
      </c>
      <c r="E5" s="14" t="s">
        <v>71</v>
      </c>
      <c r="F5" s="1">
        <v>1</v>
      </c>
      <c r="G5" s="4" t="str">
        <f t="shared" si="0"/>
        <v/>
      </c>
    </row>
    <row r="6" spans="1:9" ht="15" customHeight="1" x14ac:dyDescent="0.35">
      <c r="A6" s="11">
        <v>2002</v>
      </c>
      <c r="B6" s="12" t="s">
        <v>160</v>
      </c>
      <c r="C6" s="13" t="s">
        <v>29</v>
      </c>
      <c r="D6" s="25" t="s">
        <v>159</v>
      </c>
      <c r="E6" s="14" t="s">
        <v>72</v>
      </c>
      <c r="F6" s="1">
        <v>0</v>
      </c>
      <c r="G6" s="4" t="str">
        <f t="shared" si="0"/>
        <v/>
      </c>
    </row>
    <row r="7" spans="1:9" ht="15" customHeight="1" thickBot="1" x14ac:dyDescent="0.4">
      <c r="A7" s="11">
        <v>2003</v>
      </c>
      <c r="B7" s="12" t="s">
        <v>160</v>
      </c>
      <c r="C7" s="13" t="s">
        <v>29</v>
      </c>
      <c r="D7" s="25" t="s">
        <v>159</v>
      </c>
      <c r="E7" s="14" t="s">
        <v>73</v>
      </c>
      <c r="F7" s="29">
        <v>1</v>
      </c>
      <c r="G7" s="4" t="str">
        <f t="shared" si="0"/>
        <v/>
      </c>
    </row>
    <row r="8" spans="1:9" ht="15" customHeight="1" x14ac:dyDescent="0.35">
      <c r="A8" s="11">
        <v>2004</v>
      </c>
      <c r="B8" s="12" t="s">
        <v>160</v>
      </c>
      <c r="C8" s="13" t="s">
        <v>29</v>
      </c>
      <c r="D8" s="25" t="s">
        <v>159</v>
      </c>
      <c r="E8" s="14" t="s">
        <v>74</v>
      </c>
      <c r="F8" s="1">
        <v>1</v>
      </c>
      <c r="G8" s="4" t="str">
        <f t="shared" si="0"/>
        <v/>
      </c>
    </row>
    <row r="9" spans="1:9" ht="15" customHeight="1" x14ac:dyDescent="0.35">
      <c r="A9" s="11">
        <v>2005</v>
      </c>
      <c r="B9" s="12" t="s">
        <v>160</v>
      </c>
      <c r="C9" s="13" t="s">
        <v>29</v>
      </c>
      <c r="D9" s="25" t="s">
        <v>159</v>
      </c>
      <c r="E9" s="14" t="s">
        <v>75</v>
      </c>
      <c r="F9" s="1">
        <v>1</v>
      </c>
      <c r="G9" s="4" t="str">
        <f t="shared" si="0"/>
        <v/>
      </c>
    </row>
    <row r="10" spans="1:9" ht="15" customHeight="1" x14ac:dyDescent="0.35">
      <c r="A10" s="11">
        <v>2006</v>
      </c>
      <c r="B10" s="12" t="s">
        <v>160</v>
      </c>
      <c r="C10" s="13" t="s">
        <v>29</v>
      </c>
      <c r="D10" s="25" t="s">
        <v>159</v>
      </c>
      <c r="E10" s="14" t="s">
        <v>76</v>
      </c>
      <c r="F10" s="1">
        <v>0</v>
      </c>
      <c r="G10" s="4" t="str">
        <f t="shared" si="0"/>
        <v/>
      </c>
    </row>
    <row r="11" spans="1:9" ht="15" customHeight="1" x14ac:dyDescent="0.35">
      <c r="A11" s="11">
        <v>2007</v>
      </c>
      <c r="B11" s="12" t="s">
        <v>160</v>
      </c>
      <c r="C11" s="13" t="s">
        <v>29</v>
      </c>
      <c r="D11" s="25" t="s">
        <v>159</v>
      </c>
      <c r="E11" s="14" t="s">
        <v>77</v>
      </c>
      <c r="F11" s="1">
        <v>1</v>
      </c>
      <c r="G11" s="4" t="str">
        <f t="shared" si="0"/>
        <v/>
      </c>
    </row>
    <row r="12" spans="1:9" ht="15" customHeight="1" thickBot="1" x14ac:dyDescent="0.4">
      <c r="A12" s="11">
        <v>2008</v>
      </c>
      <c r="B12" s="12" t="s">
        <v>160</v>
      </c>
      <c r="C12" s="13" t="s">
        <v>29</v>
      </c>
      <c r="D12" s="25" t="s">
        <v>159</v>
      </c>
      <c r="E12" s="14" t="s">
        <v>78</v>
      </c>
      <c r="F12" s="29">
        <v>1</v>
      </c>
      <c r="G12" s="4" t="str">
        <f t="shared" si="0"/>
        <v/>
      </c>
    </row>
    <row r="13" spans="1:9" ht="15" customHeight="1" x14ac:dyDescent="0.35">
      <c r="A13" s="11">
        <v>2009</v>
      </c>
      <c r="B13" s="12" t="s">
        <v>160</v>
      </c>
      <c r="C13" s="13" t="s">
        <v>29</v>
      </c>
      <c r="D13" s="25" t="s">
        <v>159</v>
      </c>
      <c r="E13" s="14" t="s">
        <v>79</v>
      </c>
      <c r="F13" s="1">
        <v>2</v>
      </c>
      <c r="G13" s="4" t="str">
        <f t="shared" si="0"/>
        <v>Can exchange</v>
      </c>
    </row>
    <row r="14" spans="1:9" ht="15" customHeight="1" x14ac:dyDescent="0.35">
      <c r="A14" s="11">
        <v>2010</v>
      </c>
      <c r="B14" s="12" t="s">
        <v>160</v>
      </c>
      <c r="C14" s="13" t="s">
        <v>28</v>
      </c>
      <c r="D14" s="25" t="s">
        <v>159</v>
      </c>
      <c r="E14" s="14" t="s">
        <v>80</v>
      </c>
      <c r="F14" s="1">
        <v>3</v>
      </c>
      <c r="G14" s="4" t="str">
        <f t="shared" si="0"/>
        <v>Can exchange</v>
      </c>
    </row>
    <row r="15" spans="1:9" ht="15" customHeight="1" x14ac:dyDescent="0.35">
      <c r="A15" s="11">
        <v>2011</v>
      </c>
      <c r="B15" s="12" t="s">
        <v>160</v>
      </c>
      <c r="C15" s="13" t="s">
        <v>28</v>
      </c>
      <c r="D15" s="25" t="s">
        <v>159</v>
      </c>
      <c r="E15" s="14" t="s">
        <v>81</v>
      </c>
      <c r="F15" s="1">
        <v>1</v>
      </c>
      <c r="G15" s="4" t="str">
        <f t="shared" si="0"/>
        <v/>
      </c>
    </row>
    <row r="16" spans="1:9" ht="15" customHeight="1" x14ac:dyDescent="0.35">
      <c r="A16" s="11">
        <v>2012</v>
      </c>
      <c r="B16" s="12" t="s">
        <v>160</v>
      </c>
      <c r="C16" s="13" t="s">
        <v>28</v>
      </c>
      <c r="D16" s="25" t="s">
        <v>159</v>
      </c>
      <c r="E16" s="14" t="s">
        <v>82</v>
      </c>
      <c r="F16" s="1">
        <v>0</v>
      </c>
      <c r="G16" s="4" t="str">
        <f t="shared" si="0"/>
        <v/>
      </c>
    </row>
    <row r="17" spans="1:7" ht="15" customHeight="1" thickBot="1" x14ac:dyDescent="0.4">
      <c r="A17" s="11">
        <v>2013</v>
      </c>
      <c r="B17" s="12" t="s">
        <v>160</v>
      </c>
      <c r="C17" s="13" t="s">
        <v>28</v>
      </c>
      <c r="D17" s="25" t="s">
        <v>159</v>
      </c>
      <c r="E17" s="14" t="s">
        <v>83</v>
      </c>
      <c r="F17" s="29">
        <v>0</v>
      </c>
      <c r="G17" s="4" t="str">
        <f t="shared" si="0"/>
        <v/>
      </c>
    </row>
    <row r="18" spans="1:7" ht="15" customHeight="1" x14ac:dyDescent="0.35">
      <c r="A18" s="11">
        <v>2014</v>
      </c>
      <c r="B18" s="12" t="s">
        <v>160</v>
      </c>
      <c r="C18" s="13" t="s">
        <v>28</v>
      </c>
      <c r="D18" s="25" t="s">
        <v>159</v>
      </c>
      <c r="E18" s="14" t="s">
        <v>84</v>
      </c>
      <c r="F18" s="1">
        <v>0</v>
      </c>
      <c r="G18" s="4" t="str">
        <f t="shared" si="0"/>
        <v/>
      </c>
    </row>
    <row r="19" spans="1:7" ht="15" customHeight="1" x14ac:dyDescent="0.35">
      <c r="A19" s="11">
        <v>2015</v>
      </c>
      <c r="B19" s="12" t="s">
        <v>160</v>
      </c>
      <c r="C19" s="13" t="s">
        <v>28</v>
      </c>
      <c r="D19" s="25" t="s">
        <v>159</v>
      </c>
      <c r="E19" s="14" t="s">
        <v>85</v>
      </c>
      <c r="F19" s="1">
        <v>1</v>
      </c>
      <c r="G19" s="4" t="str">
        <f t="shared" si="0"/>
        <v/>
      </c>
    </row>
    <row r="20" spans="1:7" ht="15" customHeight="1" x14ac:dyDescent="0.35">
      <c r="A20" s="11">
        <v>2016</v>
      </c>
      <c r="B20" s="12" t="s">
        <v>160</v>
      </c>
      <c r="C20" s="13" t="s">
        <v>28</v>
      </c>
      <c r="D20" s="25" t="s">
        <v>159</v>
      </c>
      <c r="E20" s="14" t="s">
        <v>86</v>
      </c>
      <c r="F20" s="1">
        <v>0</v>
      </c>
      <c r="G20" s="4" t="str">
        <f t="shared" si="0"/>
        <v/>
      </c>
    </row>
    <row r="21" spans="1:7" ht="15" customHeight="1" x14ac:dyDescent="0.35">
      <c r="A21" s="11">
        <v>2017</v>
      </c>
      <c r="B21" s="12" t="s">
        <v>160</v>
      </c>
      <c r="C21" s="13" t="s">
        <v>28</v>
      </c>
      <c r="D21" s="25" t="s">
        <v>159</v>
      </c>
      <c r="E21" s="14" t="s">
        <v>87</v>
      </c>
      <c r="F21" s="1">
        <v>1</v>
      </c>
    </row>
    <row r="22" spans="1:7" ht="15" customHeight="1" thickBot="1" x14ac:dyDescent="0.4">
      <c r="A22" s="11">
        <v>2018</v>
      </c>
      <c r="B22" s="12" t="s">
        <v>160</v>
      </c>
      <c r="C22" s="13" t="s">
        <v>28</v>
      </c>
      <c r="D22" s="25" t="s">
        <v>159</v>
      </c>
      <c r="E22" s="14" t="s">
        <v>176</v>
      </c>
      <c r="F22" s="29">
        <v>0</v>
      </c>
    </row>
    <row r="23" spans="1:7" ht="15" customHeight="1" x14ac:dyDescent="0.35">
      <c r="A23" s="11">
        <v>2019</v>
      </c>
      <c r="B23" s="12" t="s">
        <v>160</v>
      </c>
      <c r="C23" s="13" t="s">
        <v>28</v>
      </c>
      <c r="D23" s="25" t="s">
        <v>159</v>
      </c>
      <c r="E23" s="14" t="s">
        <v>168</v>
      </c>
      <c r="F23" s="1">
        <v>0</v>
      </c>
      <c r="G23" s="4" t="str">
        <f t="shared" ref="G23:G24" si="1">IF(OR(AND(F23&gt;1,F23&lt;&gt;"-")),"Can exchange","")</f>
        <v/>
      </c>
    </row>
    <row r="24" spans="1:7" ht="15" customHeight="1" x14ac:dyDescent="0.35">
      <c r="A24" s="11">
        <v>2020</v>
      </c>
      <c r="B24" s="12" t="s">
        <v>160</v>
      </c>
      <c r="C24" s="13" t="s">
        <v>28</v>
      </c>
      <c r="D24" s="25" t="s">
        <v>159</v>
      </c>
      <c r="E24" s="14" t="s">
        <v>169</v>
      </c>
      <c r="F24" s="1">
        <v>1</v>
      </c>
      <c r="G24" s="4" t="str">
        <f t="shared" si="1"/>
        <v/>
      </c>
    </row>
    <row r="25" spans="1:7" ht="15" customHeight="1" x14ac:dyDescent="0.35">
      <c r="A25" s="11">
        <v>2021</v>
      </c>
      <c r="B25" s="12" t="s">
        <v>160</v>
      </c>
      <c r="C25" s="13" t="s">
        <v>28</v>
      </c>
      <c r="D25" s="25" t="s">
        <v>159</v>
      </c>
      <c r="E25" s="14" t="s">
        <v>184</v>
      </c>
      <c r="F25" s="1">
        <v>0</v>
      </c>
      <c r="G25" s="4" t="str">
        <f t="shared" ref="G25:G27" si="2">IF(OR(AND(F25&gt;1,F25&lt;&gt;"-")),"Can exchange","")</f>
        <v/>
      </c>
    </row>
    <row r="26" spans="1:7" ht="15" customHeight="1" x14ac:dyDescent="0.35">
      <c r="A26" s="11">
        <v>2022</v>
      </c>
      <c r="B26" s="12" t="s">
        <v>160</v>
      </c>
      <c r="C26" s="13" t="s">
        <v>28</v>
      </c>
      <c r="D26" s="25" t="s">
        <v>159</v>
      </c>
      <c r="E26" s="14" t="s">
        <v>191</v>
      </c>
      <c r="F26" s="1">
        <v>0</v>
      </c>
      <c r="G26" s="4" t="str">
        <f t="shared" si="2"/>
        <v/>
      </c>
    </row>
    <row r="27" spans="1:7" ht="15" customHeight="1" x14ac:dyDescent="0.35">
      <c r="A27" s="11">
        <v>2023</v>
      </c>
      <c r="B27" s="12" t="s">
        <v>160</v>
      </c>
      <c r="C27" s="13" t="s">
        <v>28</v>
      </c>
      <c r="D27" s="25" t="s">
        <v>159</v>
      </c>
      <c r="E27" s="14" t="s">
        <v>204</v>
      </c>
      <c r="F27" s="1">
        <v>0</v>
      </c>
      <c r="G27" s="4" t="str">
        <f t="shared" si="2"/>
        <v/>
      </c>
    </row>
    <row r="28" spans="1:7" ht="15" customHeight="1" x14ac:dyDescent="0.35">
      <c r="A28" s="11">
        <v>2024</v>
      </c>
      <c r="B28" s="12" t="s">
        <v>160</v>
      </c>
      <c r="C28" s="13" t="s">
        <v>28</v>
      </c>
      <c r="D28" s="25" t="s">
        <v>159</v>
      </c>
      <c r="E28" s="14" t="s">
        <v>205</v>
      </c>
      <c r="F28" s="1">
        <v>0</v>
      </c>
      <c r="G28" s="4" t="str">
        <f t="shared" ref="G28:G29" si="3">IF(OR(AND(F28&gt;1,F28&lt;&gt;"-")),"Can exchange","")</f>
        <v/>
      </c>
    </row>
    <row r="29" spans="1:7" ht="15" customHeight="1" x14ac:dyDescent="0.35">
      <c r="A29" s="11">
        <v>2025</v>
      </c>
      <c r="B29" s="12" t="s">
        <v>160</v>
      </c>
      <c r="C29" s="13" t="s">
        <v>28</v>
      </c>
      <c r="D29" s="25" t="s">
        <v>159</v>
      </c>
      <c r="E29" s="14"/>
      <c r="F29" s="1">
        <v>0</v>
      </c>
      <c r="G29" s="4" t="str">
        <f t="shared" si="3"/>
        <v/>
      </c>
    </row>
  </sheetData>
  <autoFilter ref="B2:E2" xr:uid="{00000000-0001-0000-0200-000000000000}"/>
  <mergeCells count="2">
    <mergeCell ref="A1:A2"/>
    <mergeCell ref="C1:D1"/>
  </mergeCells>
  <phoneticPr fontId="7" type="noConversion"/>
  <conditionalFormatting sqref="F3:F22">
    <cfRule type="containsText" dxfId="32" priority="9" operator="containsText" text="*-">
      <formula>NOT(ISERROR(SEARCH(("*-"),(F3))))</formula>
    </cfRule>
  </conditionalFormatting>
  <conditionalFormatting sqref="F3:F22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3 F25">
    <cfRule type="containsText" dxfId="31" priority="7" operator="containsText" text="*-">
      <formula>NOT(ISERROR(SEARCH(("*-"),(F23))))</formula>
    </cfRule>
  </conditionalFormatting>
  <conditionalFormatting sqref="F25 F23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4 F26">
    <cfRule type="containsText" dxfId="30" priority="5" operator="containsText" text="*-">
      <formula>NOT(ISERROR(SEARCH(("*-"),(F24))))</formula>
    </cfRule>
  </conditionalFormatting>
  <conditionalFormatting sqref="F26 F24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8">
    <cfRule type="containsText" dxfId="29" priority="3" operator="containsText" text="*-">
      <formula>NOT(ISERROR(SEARCH(("*-"),(F28))))</formula>
    </cfRule>
  </conditionalFormatting>
  <conditionalFormatting sqref="F28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7 F29">
    <cfRule type="containsText" dxfId="28" priority="1" operator="containsText" text="*-">
      <formula>NOT(ISERROR(SEARCH(("*-"),(F27))))</formula>
    </cfRule>
  </conditionalFormatting>
  <conditionalFormatting sqref="F29 F27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9"/>
  <sheetViews>
    <sheetView workbookViewId="0">
      <pane xSplit="8" ySplit="2" topLeftCell="I3" activePane="bottomRight" state="frozen"/>
      <selection pane="topRight" activeCell="H1" sqref="H1"/>
      <selection pane="bottomLeft" activeCell="A3" sqref="A3"/>
      <selection pane="bottomRight" activeCell="E41" sqref="E41"/>
    </sheetView>
  </sheetViews>
  <sheetFormatPr defaultRowHeight="15" customHeight="1" x14ac:dyDescent="0.35"/>
  <cols>
    <col min="1" max="1" width="5.6328125" style="5" customWidth="1"/>
    <col min="2" max="2" width="50.6328125" style="5" customWidth="1"/>
    <col min="3" max="5" width="33.6328125" style="5" customWidth="1"/>
    <col min="6" max="6" width="12.6328125" style="5" customWidth="1"/>
    <col min="7" max="7" width="3.6328125" style="5" customWidth="1"/>
    <col min="8" max="8" width="12.6328125" style="5" customWidth="1"/>
  </cols>
  <sheetData>
    <row r="1" spans="1:8" ht="15" customHeight="1" x14ac:dyDescent="0.35">
      <c r="A1" s="32" t="s">
        <v>0</v>
      </c>
      <c r="B1" s="31"/>
      <c r="C1" s="34" t="s">
        <v>1</v>
      </c>
      <c r="D1" s="36"/>
      <c r="E1" s="35"/>
      <c r="F1" s="9" t="s">
        <v>2</v>
      </c>
      <c r="G1" s="24" t="s">
        <v>6</v>
      </c>
      <c r="H1" s="2"/>
    </row>
    <row r="2" spans="1:8" ht="15" customHeight="1" x14ac:dyDescent="0.35">
      <c r="A2" s="33"/>
      <c r="B2" s="31" t="s">
        <v>195</v>
      </c>
      <c r="C2" s="8" t="s">
        <v>198</v>
      </c>
      <c r="D2" s="8" t="s">
        <v>197</v>
      </c>
      <c r="E2" s="8" t="s">
        <v>199</v>
      </c>
      <c r="F2" s="10" t="s">
        <v>27</v>
      </c>
      <c r="G2" s="8" t="s">
        <v>27</v>
      </c>
      <c r="H2" s="2"/>
    </row>
    <row r="3" spans="1:8" ht="15" customHeight="1" x14ac:dyDescent="0.35">
      <c r="A3" s="11">
        <v>1999</v>
      </c>
      <c r="B3" s="10" t="s">
        <v>161</v>
      </c>
      <c r="C3" s="13" t="s">
        <v>29</v>
      </c>
      <c r="D3" s="25" t="s">
        <v>159</v>
      </c>
      <c r="E3" s="7" t="s">
        <v>7</v>
      </c>
      <c r="F3" s="8" t="s">
        <v>88</v>
      </c>
      <c r="G3" s="1">
        <v>1</v>
      </c>
      <c r="H3" s="4" t="str">
        <f t="shared" ref="H3:H5" si="0">IF(OR(AND(G3&gt;1,G3&lt;&gt;"-")),"Can exchange","")</f>
        <v/>
      </c>
    </row>
    <row r="4" spans="1:8" ht="15" customHeight="1" x14ac:dyDescent="0.35">
      <c r="A4" s="11">
        <v>2000</v>
      </c>
      <c r="B4" s="10" t="s">
        <v>161</v>
      </c>
      <c r="C4" s="13" t="s">
        <v>29</v>
      </c>
      <c r="D4" s="25" t="s">
        <v>159</v>
      </c>
      <c r="E4" s="7" t="s">
        <v>7</v>
      </c>
      <c r="F4" s="8" t="s">
        <v>89</v>
      </c>
      <c r="G4" s="1">
        <v>1</v>
      </c>
      <c r="H4" s="4" t="str">
        <f t="shared" si="0"/>
        <v/>
      </c>
    </row>
    <row r="5" spans="1:8" ht="15" customHeight="1" x14ac:dyDescent="0.35">
      <c r="A5" s="11">
        <v>2001</v>
      </c>
      <c r="B5" s="10" t="s">
        <v>161</v>
      </c>
      <c r="C5" s="13" t="s">
        <v>29</v>
      </c>
      <c r="D5" s="25" t="s">
        <v>159</v>
      </c>
      <c r="E5" s="7" t="s">
        <v>7</v>
      </c>
      <c r="F5" s="8" t="s">
        <v>90</v>
      </c>
      <c r="G5" s="1">
        <v>0</v>
      </c>
      <c r="H5" s="4" t="str">
        <f t="shared" si="0"/>
        <v/>
      </c>
    </row>
    <row r="6" spans="1:8" ht="15" customHeight="1" x14ac:dyDescent="0.35">
      <c r="A6" s="11">
        <v>2002</v>
      </c>
      <c r="B6" s="10" t="s">
        <v>161</v>
      </c>
      <c r="C6" s="13" t="s">
        <v>29</v>
      </c>
      <c r="D6" s="25" t="s">
        <v>159</v>
      </c>
      <c r="E6" s="7" t="s">
        <v>7</v>
      </c>
      <c r="F6" s="8" t="s">
        <v>91</v>
      </c>
      <c r="G6" s="1">
        <v>1</v>
      </c>
      <c r="H6" s="4" t="str">
        <f t="shared" ref="H6:H23" si="1">IF(OR(AND(G6&gt;1,G6&lt;&gt;"-")),"Can exchange","")</f>
        <v/>
      </c>
    </row>
    <row r="7" spans="1:8" ht="15" customHeight="1" thickBot="1" x14ac:dyDescent="0.4">
      <c r="A7" s="11">
        <v>2003</v>
      </c>
      <c r="B7" s="10" t="s">
        <v>161</v>
      </c>
      <c r="C7" s="13" t="s">
        <v>29</v>
      </c>
      <c r="D7" s="25" t="s">
        <v>159</v>
      </c>
      <c r="E7" s="7" t="s">
        <v>7</v>
      </c>
      <c r="F7" s="8" t="s">
        <v>92</v>
      </c>
      <c r="G7" s="29">
        <v>2</v>
      </c>
      <c r="H7" s="4" t="str">
        <f t="shared" si="1"/>
        <v>Can exchange</v>
      </c>
    </row>
    <row r="8" spans="1:8" ht="15" customHeight="1" x14ac:dyDescent="0.35">
      <c r="A8" s="11">
        <v>2004</v>
      </c>
      <c r="B8" s="10" t="s">
        <v>161</v>
      </c>
      <c r="C8" s="13" t="s">
        <v>29</v>
      </c>
      <c r="D8" s="25" t="s">
        <v>159</v>
      </c>
      <c r="E8" s="7" t="s">
        <v>7</v>
      </c>
      <c r="F8" s="8" t="s">
        <v>93</v>
      </c>
      <c r="G8" s="1">
        <v>1</v>
      </c>
      <c r="H8" s="4" t="str">
        <f t="shared" si="1"/>
        <v/>
      </c>
    </row>
    <row r="9" spans="1:8" ht="15" customHeight="1" x14ac:dyDescent="0.35">
      <c r="A9" s="11">
        <v>2005</v>
      </c>
      <c r="B9" s="10" t="s">
        <v>161</v>
      </c>
      <c r="C9" s="13" t="s">
        <v>29</v>
      </c>
      <c r="D9" s="25" t="s">
        <v>159</v>
      </c>
      <c r="E9" s="7" t="s">
        <v>7</v>
      </c>
      <c r="F9" s="8" t="s">
        <v>94</v>
      </c>
      <c r="G9" s="1">
        <v>2</v>
      </c>
      <c r="H9" s="4" t="str">
        <f t="shared" si="1"/>
        <v>Can exchange</v>
      </c>
    </row>
    <row r="10" spans="1:8" ht="15" customHeight="1" x14ac:dyDescent="0.35">
      <c r="A10" s="11">
        <v>2006</v>
      </c>
      <c r="B10" s="10" t="s">
        <v>161</v>
      </c>
      <c r="C10" s="13" t="s">
        <v>29</v>
      </c>
      <c r="D10" s="25" t="s">
        <v>159</v>
      </c>
      <c r="E10" s="7" t="s">
        <v>7</v>
      </c>
      <c r="F10" s="8" t="s">
        <v>95</v>
      </c>
      <c r="G10" s="1">
        <v>1</v>
      </c>
      <c r="H10" s="4" t="str">
        <f t="shared" si="1"/>
        <v/>
      </c>
    </row>
    <row r="11" spans="1:8" ht="15" customHeight="1" x14ac:dyDescent="0.35">
      <c r="A11" s="11">
        <v>2007</v>
      </c>
      <c r="B11" s="10" t="s">
        <v>161</v>
      </c>
      <c r="C11" s="13" t="s">
        <v>29</v>
      </c>
      <c r="D11" s="25" t="s">
        <v>159</v>
      </c>
      <c r="E11" s="7" t="s">
        <v>8</v>
      </c>
      <c r="F11" s="8" t="s">
        <v>96</v>
      </c>
      <c r="G11" s="1">
        <v>3</v>
      </c>
      <c r="H11" s="4" t="str">
        <f t="shared" si="1"/>
        <v>Can exchange</v>
      </c>
    </row>
    <row r="12" spans="1:8" ht="15" customHeight="1" thickBot="1" x14ac:dyDescent="0.4">
      <c r="A12" s="11">
        <v>2008</v>
      </c>
      <c r="B12" s="10" t="s">
        <v>161</v>
      </c>
      <c r="C12" s="13" t="s">
        <v>29</v>
      </c>
      <c r="D12" s="25" t="s">
        <v>159</v>
      </c>
      <c r="E12" s="7" t="s">
        <v>8</v>
      </c>
      <c r="F12" s="8" t="s">
        <v>97</v>
      </c>
      <c r="G12" s="29">
        <v>2</v>
      </c>
      <c r="H12" s="4" t="str">
        <f t="shared" si="1"/>
        <v>Can exchange</v>
      </c>
    </row>
    <row r="13" spans="1:8" ht="15" customHeight="1" x14ac:dyDescent="0.35">
      <c r="A13" s="11">
        <v>2009</v>
      </c>
      <c r="B13" s="10" t="s">
        <v>161</v>
      </c>
      <c r="C13" s="13" t="s">
        <v>29</v>
      </c>
      <c r="D13" s="25" t="s">
        <v>159</v>
      </c>
      <c r="E13" s="7" t="s">
        <v>8</v>
      </c>
      <c r="F13" s="8" t="s">
        <v>98</v>
      </c>
      <c r="G13" s="1">
        <v>2</v>
      </c>
      <c r="H13" s="4" t="str">
        <f t="shared" si="1"/>
        <v>Can exchange</v>
      </c>
    </row>
    <row r="14" spans="1:8" ht="15" customHeight="1" x14ac:dyDescent="0.35">
      <c r="A14" s="11">
        <v>2010</v>
      </c>
      <c r="B14" s="10" t="s">
        <v>161</v>
      </c>
      <c r="C14" s="13" t="s">
        <v>28</v>
      </c>
      <c r="D14" s="25" t="s">
        <v>159</v>
      </c>
      <c r="E14" s="7" t="s">
        <v>8</v>
      </c>
      <c r="F14" s="8" t="s">
        <v>99</v>
      </c>
      <c r="G14" s="1">
        <v>1</v>
      </c>
      <c r="H14" s="4" t="str">
        <f t="shared" si="1"/>
        <v/>
      </c>
    </row>
    <row r="15" spans="1:8" ht="15" customHeight="1" x14ac:dyDescent="0.35">
      <c r="A15" s="11">
        <v>2011</v>
      </c>
      <c r="B15" s="10" t="s">
        <v>161</v>
      </c>
      <c r="C15" s="13" t="s">
        <v>28</v>
      </c>
      <c r="D15" s="25" t="s">
        <v>159</v>
      </c>
      <c r="E15" s="7" t="s">
        <v>8</v>
      </c>
      <c r="F15" s="8" t="s">
        <v>100</v>
      </c>
      <c r="G15" s="1">
        <v>0</v>
      </c>
      <c r="H15" s="4" t="str">
        <f t="shared" si="1"/>
        <v/>
      </c>
    </row>
    <row r="16" spans="1:8" ht="15" customHeight="1" x14ac:dyDescent="0.35">
      <c r="A16" s="11">
        <v>2012</v>
      </c>
      <c r="B16" s="10" t="s">
        <v>161</v>
      </c>
      <c r="C16" s="13" t="s">
        <v>28</v>
      </c>
      <c r="D16" s="25" t="s">
        <v>159</v>
      </c>
      <c r="E16" s="7" t="s">
        <v>8</v>
      </c>
      <c r="F16" s="8" t="s">
        <v>101</v>
      </c>
      <c r="G16" s="1">
        <v>0</v>
      </c>
      <c r="H16" s="4" t="str">
        <f t="shared" si="1"/>
        <v/>
      </c>
    </row>
    <row r="17" spans="1:8" ht="15" customHeight="1" thickBot="1" x14ac:dyDescent="0.4">
      <c r="A17" s="11">
        <v>2013</v>
      </c>
      <c r="B17" s="10" t="s">
        <v>161</v>
      </c>
      <c r="C17" s="13" t="s">
        <v>28</v>
      </c>
      <c r="D17" s="25" t="s">
        <v>159</v>
      </c>
      <c r="E17" s="7" t="s">
        <v>8</v>
      </c>
      <c r="F17" s="8" t="s">
        <v>102</v>
      </c>
      <c r="G17" s="29">
        <v>0</v>
      </c>
      <c r="H17" s="4" t="str">
        <f t="shared" si="1"/>
        <v/>
      </c>
    </row>
    <row r="18" spans="1:8" ht="15" customHeight="1" x14ac:dyDescent="0.35">
      <c r="A18" s="11">
        <v>2014</v>
      </c>
      <c r="B18" s="10" t="s">
        <v>161</v>
      </c>
      <c r="C18" s="13" t="s">
        <v>28</v>
      </c>
      <c r="D18" s="25" t="s">
        <v>159</v>
      </c>
      <c r="E18" s="7" t="s">
        <v>8</v>
      </c>
      <c r="F18" s="8" t="s">
        <v>103</v>
      </c>
      <c r="G18" s="1">
        <v>2</v>
      </c>
      <c r="H18" s="4" t="str">
        <f t="shared" si="1"/>
        <v>Can exchange</v>
      </c>
    </row>
    <row r="19" spans="1:8" ht="15" customHeight="1" x14ac:dyDescent="0.35">
      <c r="A19" s="11">
        <v>2015</v>
      </c>
      <c r="B19" s="10" t="s">
        <v>161</v>
      </c>
      <c r="C19" s="13" t="s">
        <v>28</v>
      </c>
      <c r="D19" s="25" t="s">
        <v>159</v>
      </c>
      <c r="E19" s="7" t="s">
        <v>8</v>
      </c>
      <c r="F19" s="8" t="s">
        <v>104</v>
      </c>
      <c r="G19" s="1">
        <v>0</v>
      </c>
      <c r="H19" s="4" t="str">
        <f t="shared" si="1"/>
        <v/>
      </c>
    </row>
    <row r="20" spans="1:8" ht="15" customHeight="1" x14ac:dyDescent="0.35">
      <c r="A20" s="11">
        <v>2016</v>
      </c>
      <c r="B20" s="10" t="s">
        <v>161</v>
      </c>
      <c r="C20" s="13" t="s">
        <v>28</v>
      </c>
      <c r="D20" s="25" t="s">
        <v>159</v>
      </c>
      <c r="E20" s="7" t="s">
        <v>8</v>
      </c>
      <c r="F20" s="8" t="s">
        <v>105</v>
      </c>
      <c r="G20" s="1">
        <v>1</v>
      </c>
      <c r="H20" s="4" t="str">
        <f t="shared" si="1"/>
        <v/>
      </c>
    </row>
    <row r="21" spans="1:8" ht="15" customHeight="1" x14ac:dyDescent="0.35">
      <c r="A21" s="11">
        <v>2017</v>
      </c>
      <c r="B21" s="10" t="s">
        <v>161</v>
      </c>
      <c r="C21" s="13" t="s">
        <v>28</v>
      </c>
      <c r="D21" s="25" t="s">
        <v>159</v>
      </c>
      <c r="E21" s="7" t="s">
        <v>8</v>
      </c>
      <c r="F21" s="8" t="s">
        <v>106</v>
      </c>
      <c r="G21" s="1">
        <v>0</v>
      </c>
      <c r="H21" s="4" t="str">
        <f t="shared" si="1"/>
        <v/>
      </c>
    </row>
    <row r="22" spans="1:8" ht="15" customHeight="1" thickBot="1" x14ac:dyDescent="0.4">
      <c r="A22" s="11">
        <v>2018</v>
      </c>
      <c r="B22" s="10" t="s">
        <v>161</v>
      </c>
      <c r="C22" s="13" t="s">
        <v>28</v>
      </c>
      <c r="D22" s="25" t="s">
        <v>159</v>
      </c>
      <c r="E22" s="7" t="s">
        <v>8</v>
      </c>
      <c r="F22" s="8" t="s">
        <v>170</v>
      </c>
      <c r="G22" s="29">
        <v>0</v>
      </c>
      <c r="H22" s="4" t="str">
        <f t="shared" si="1"/>
        <v/>
      </c>
    </row>
    <row r="23" spans="1:8" ht="15" customHeight="1" x14ac:dyDescent="0.35">
      <c r="A23" s="11">
        <v>2019</v>
      </c>
      <c r="B23" s="10" t="s">
        <v>161</v>
      </c>
      <c r="C23" s="13" t="s">
        <v>28</v>
      </c>
      <c r="D23" s="25" t="s">
        <v>159</v>
      </c>
      <c r="E23" s="7" t="s">
        <v>8</v>
      </c>
      <c r="F23" s="8" t="s">
        <v>171</v>
      </c>
      <c r="G23" s="3">
        <v>0</v>
      </c>
      <c r="H23" s="4" t="str">
        <f t="shared" si="1"/>
        <v/>
      </c>
    </row>
    <row r="24" spans="1:8" ht="15" customHeight="1" x14ac:dyDescent="0.35">
      <c r="A24" s="11">
        <v>2020</v>
      </c>
      <c r="B24" s="10" t="s">
        <v>161</v>
      </c>
      <c r="C24" s="13" t="s">
        <v>28</v>
      </c>
      <c r="D24" s="25" t="s">
        <v>159</v>
      </c>
      <c r="E24" s="7" t="s">
        <v>8</v>
      </c>
      <c r="F24" s="8" t="s">
        <v>172</v>
      </c>
      <c r="G24" s="3">
        <v>0</v>
      </c>
      <c r="H24" s="4" t="str">
        <f t="shared" ref="H24:H25" si="2">IF(OR(AND(G24&gt;1,G24&lt;&gt;"-")),"Can exchange","")</f>
        <v/>
      </c>
    </row>
    <row r="25" spans="1:8" ht="15" customHeight="1" x14ac:dyDescent="0.35">
      <c r="A25" s="11">
        <v>2021</v>
      </c>
      <c r="B25" s="10" t="s">
        <v>161</v>
      </c>
      <c r="C25" s="13" t="s">
        <v>28</v>
      </c>
      <c r="D25" s="25" t="s">
        <v>159</v>
      </c>
      <c r="E25" s="7" t="s">
        <v>8</v>
      </c>
      <c r="F25" s="8" t="s">
        <v>185</v>
      </c>
      <c r="G25" s="3">
        <v>0</v>
      </c>
      <c r="H25" s="4" t="str">
        <f t="shared" si="2"/>
        <v/>
      </c>
    </row>
    <row r="26" spans="1:8" ht="15" customHeight="1" x14ac:dyDescent="0.35">
      <c r="A26" s="11">
        <v>2022</v>
      </c>
      <c r="B26" s="10" t="s">
        <v>161</v>
      </c>
      <c r="C26" s="13" t="s">
        <v>28</v>
      </c>
      <c r="D26" s="25" t="s">
        <v>159</v>
      </c>
      <c r="E26" s="7" t="s">
        <v>8</v>
      </c>
      <c r="F26" s="8" t="s">
        <v>192</v>
      </c>
      <c r="G26" s="3">
        <v>0</v>
      </c>
      <c r="H26" s="4" t="str">
        <f t="shared" ref="H26:H28" si="3">IF(OR(AND(G26&gt;1,G26&lt;&gt;"-")),"Can exchange","")</f>
        <v/>
      </c>
    </row>
    <row r="27" spans="1:8" ht="15" customHeight="1" x14ac:dyDescent="0.35">
      <c r="A27" s="11">
        <v>2023</v>
      </c>
      <c r="B27" s="10" t="s">
        <v>161</v>
      </c>
      <c r="C27" s="13" t="s">
        <v>28</v>
      </c>
      <c r="D27" s="25" t="s">
        <v>159</v>
      </c>
      <c r="E27" s="7" t="s">
        <v>8</v>
      </c>
      <c r="F27" s="8" t="s">
        <v>206</v>
      </c>
      <c r="G27" s="3">
        <v>0</v>
      </c>
      <c r="H27" s="4" t="str">
        <f t="shared" si="3"/>
        <v/>
      </c>
    </row>
    <row r="28" spans="1:8" ht="15" customHeight="1" x14ac:dyDescent="0.35">
      <c r="A28" s="11">
        <v>2024</v>
      </c>
      <c r="B28" s="10" t="s">
        <v>161</v>
      </c>
      <c r="C28" s="13" t="s">
        <v>28</v>
      </c>
      <c r="D28" s="25" t="s">
        <v>159</v>
      </c>
      <c r="E28" s="7" t="s">
        <v>8</v>
      </c>
      <c r="F28" s="8" t="s">
        <v>207</v>
      </c>
      <c r="G28" s="3">
        <v>0</v>
      </c>
      <c r="H28" s="4" t="str">
        <f t="shared" si="3"/>
        <v/>
      </c>
    </row>
    <row r="29" spans="1:8" ht="15" customHeight="1" x14ac:dyDescent="0.35">
      <c r="A29" s="11">
        <v>2025</v>
      </c>
      <c r="B29" s="10" t="s">
        <v>161</v>
      </c>
      <c r="C29" s="13" t="s">
        <v>28</v>
      </c>
      <c r="D29" s="25" t="s">
        <v>159</v>
      </c>
      <c r="E29" s="7" t="s">
        <v>8</v>
      </c>
      <c r="F29" s="8"/>
      <c r="G29" s="3">
        <v>0</v>
      </c>
      <c r="H29" s="4" t="str">
        <f t="shared" ref="H29" si="4">IF(OR(AND(G29&gt;1,G29&lt;&gt;"-")),"Can exchange","")</f>
        <v/>
      </c>
    </row>
  </sheetData>
  <autoFilter ref="B2:F2" xr:uid="{00000000-0001-0000-0300-000000000000}"/>
  <mergeCells count="2">
    <mergeCell ref="A1:A2"/>
    <mergeCell ref="C1:E1"/>
  </mergeCells>
  <phoneticPr fontId="7" type="noConversion"/>
  <conditionalFormatting sqref="G25 G23">
    <cfRule type="containsText" dxfId="27" priority="17" operator="containsText" text="*-">
      <formula>NOT(ISERROR(SEARCH(("*-"),(G23))))</formula>
    </cfRule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:G22">
    <cfRule type="containsText" dxfId="26" priority="7" operator="containsText" text="*-">
      <formula>NOT(ISERROR(SEARCH(("*-"),(G3))))</formula>
    </cfRule>
  </conditionalFormatting>
  <conditionalFormatting sqref="G3:G22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6 G24">
    <cfRule type="containsText" dxfId="25" priority="5" operator="containsText" text="*-">
      <formula>NOT(ISERROR(SEARCH(("*-"),(G24))))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8">
    <cfRule type="containsText" dxfId="24" priority="3" operator="containsText" text="*-">
      <formula>NOT(ISERROR(SEARCH(("*-"),(G28))))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9 G27">
    <cfRule type="containsText" dxfId="23" priority="1" operator="containsText" text="*-">
      <formula>NOT(ISERROR(SEARCH(("*-"),(G27))))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workbookViewId="0">
      <pane xSplit="8" ySplit="2" topLeftCell="I3" activePane="bottomRight" state="frozen"/>
      <selection pane="topRight" activeCell="H1" sqref="H1"/>
      <selection pane="bottomLeft" activeCell="A3" sqref="A3"/>
      <selection pane="bottomRight" activeCell="B57" sqref="B57"/>
    </sheetView>
  </sheetViews>
  <sheetFormatPr defaultRowHeight="15" customHeight="1" x14ac:dyDescent="0.35"/>
  <cols>
    <col min="1" max="1" width="5.6328125" style="5" customWidth="1"/>
    <col min="2" max="2" width="50.6328125" style="5" customWidth="1"/>
    <col min="3" max="5" width="33.6328125" style="5" customWidth="1"/>
    <col min="6" max="6" width="12.6328125" style="5" customWidth="1"/>
    <col min="7" max="7" width="3.6328125" style="5" customWidth="1"/>
    <col min="8" max="8" width="12.6328125" style="5" customWidth="1"/>
  </cols>
  <sheetData>
    <row r="1" spans="1:10" ht="15" customHeight="1" x14ac:dyDescent="0.35">
      <c r="A1" s="32" t="s">
        <v>0</v>
      </c>
      <c r="B1" s="31"/>
      <c r="C1" s="34" t="s">
        <v>1</v>
      </c>
      <c r="D1" s="36"/>
      <c r="E1" s="35"/>
      <c r="F1" s="9" t="s">
        <v>2</v>
      </c>
      <c r="G1" s="24" t="s">
        <v>9</v>
      </c>
      <c r="H1" s="2"/>
    </row>
    <row r="2" spans="1:10" ht="15" customHeight="1" x14ac:dyDescent="0.35">
      <c r="A2" s="33"/>
      <c r="B2" s="31" t="s">
        <v>195</v>
      </c>
      <c r="C2" s="8" t="s">
        <v>198</v>
      </c>
      <c r="D2" s="8" t="s">
        <v>197</v>
      </c>
      <c r="E2" s="8" t="s">
        <v>199</v>
      </c>
      <c r="F2" s="10" t="s">
        <v>27</v>
      </c>
      <c r="G2" s="8" t="s">
        <v>27</v>
      </c>
      <c r="H2" s="2"/>
    </row>
    <row r="3" spans="1:10" ht="15" customHeight="1" x14ac:dyDescent="0.35">
      <c r="A3" s="11">
        <v>1999</v>
      </c>
      <c r="B3" s="10" t="s">
        <v>161</v>
      </c>
      <c r="C3" s="13" t="s">
        <v>29</v>
      </c>
      <c r="D3" s="25" t="s">
        <v>159</v>
      </c>
      <c r="E3" s="7" t="s">
        <v>7</v>
      </c>
      <c r="F3" s="8" t="s">
        <v>107</v>
      </c>
      <c r="G3" s="1">
        <v>3</v>
      </c>
      <c r="H3" s="4" t="str">
        <f t="shared" ref="H3:H24" si="0">IF(OR(AND(G3&gt;1,G3&lt;&gt;"-")),"Can exchange","")</f>
        <v>Can exchange</v>
      </c>
      <c r="J3" s="6"/>
    </row>
    <row r="4" spans="1:10" ht="15" customHeight="1" x14ac:dyDescent="0.35">
      <c r="A4" s="11">
        <v>2000</v>
      </c>
      <c r="B4" s="10" t="s">
        <v>161</v>
      </c>
      <c r="C4" s="13" t="s">
        <v>29</v>
      </c>
      <c r="D4" s="25" t="s">
        <v>159</v>
      </c>
      <c r="E4" s="7" t="s">
        <v>7</v>
      </c>
      <c r="F4" s="8" t="s">
        <v>108</v>
      </c>
      <c r="G4" s="1">
        <v>0</v>
      </c>
      <c r="H4" s="4" t="str">
        <f t="shared" si="0"/>
        <v/>
      </c>
      <c r="J4" s="6" t="s">
        <v>196</v>
      </c>
    </row>
    <row r="5" spans="1:10" ht="15" customHeight="1" x14ac:dyDescent="0.35">
      <c r="A5" s="11">
        <v>2001</v>
      </c>
      <c r="B5" s="10" t="s">
        <v>161</v>
      </c>
      <c r="C5" s="13" t="s">
        <v>29</v>
      </c>
      <c r="D5" s="25" t="s">
        <v>159</v>
      </c>
      <c r="E5" s="7" t="s">
        <v>7</v>
      </c>
      <c r="F5" s="8" t="s">
        <v>109</v>
      </c>
      <c r="G5" s="1">
        <v>1</v>
      </c>
      <c r="H5" s="4" t="str">
        <f t="shared" si="0"/>
        <v/>
      </c>
    </row>
    <row r="6" spans="1:10" ht="15" customHeight="1" x14ac:dyDescent="0.35">
      <c r="A6" s="11">
        <v>2002</v>
      </c>
      <c r="B6" s="10" t="s">
        <v>161</v>
      </c>
      <c r="C6" s="13" t="s">
        <v>29</v>
      </c>
      <c r="D6" s="25" t="s">
        <v>159</v>
      </c>
      <c r="E6" s="7" t="s">
        <v>7</v>
      </c>
      <c r="F6" s="8" t="s">
        <v>110</v>
      </c>
      <c r="G6" s="1">
        <v>1</v>
      </c>
      <c r="H6" s="4" t="str">
        <f t="shared" si="0"/>
        <v/>
      </c>
    </row>
    <row r="7" spans="1:10" ht="15" customHeight="1" thickBot="1" x14ac:dyDescent="0.4">
      <c r="A7" s="11">
        <v>2003</v>
      </c>
      <c r="B7" s="10" t="s">
        <v>161</v>
      </c>
      <c r="C7" s="13" t="s">
        <v>29</v>
      </c>
      <c r="D7" s="25" t="s">
        <v>159</v>
      </c>
      <c r="E7" s="7" t="s">
        <v>7</v>
      </c>
      <c r="F7" s="8" t="s">
        <v>111</v>
      </c>
      <c r="G7" s="29">
        <v>0</v>
      </c>
      <c r="H7" s="4" t="str">
        <f t="shared" si="0"/>
        <v/>
      </c>
    </row>
    <row r="8" spans="1:10" ht="15" customHeight="1" x14ac:dyDescent="0.35">
      <c r="A8" s="11">
        <v>2004</v>
      </c>
      <c r="B8" s="10" t="s">
        <v>161</v>
      </c>
      <c r="C8" s="13" t="s">
        <v>29</v>
      </c>
      <c r="D8" s="25" t="s">
        <v>159</v>
      </c>
      <c r="E8" s="7" t="s">
        <v>7</v>
      </c>
      <c r="F8" s="8" t="s">
        <v>112</v>
      </c>
      <c r="G8" s="1">
        <v>0</v>
      </c>
      <c r="H8" s="4" t="str">
        <f t="shared" si="0"/>
        <v/>
      </c>
    </row>
    <row r="9" spans="1:10" ht="15" customHeight="1" x14ac:dyDescent="0.35">
      <c r="A9" s="11">
        <v>2005</v>
      </c>
      <c r="B9" s="10" t="s">
        <v>161</v>
      </c>
      <c r="C9" s="13" t="s">
        <v>29</v>
      </c>
      <c r="D9" s="25" t="s">
        <v>159</v>
      </c>
      <c r="E9" s="7" t="s">
        <v>7</v>
      </c>
      <c r="F9" s="8" t="s">
        <v>104</v>
      </c>
      <c r="G9" s="1">
        <v>0</v>
      </c>
      <c r="H9" s="4" t="str">
        <f t="shared" si="0"/>
        <v/>
      </c>
    </row>
    <row r="10" spans="1:10" ht="15" customHeight="1" x14ac:dyDescent="0.35">
      <c r="A10" s="11">
        <v>2006</v>
      </c>
      <c r="B10" s="10" t="s">
        <v>161</v>
      </c>
      <c r="C10" s="13" t="s">
        <v>29</v>
      </c>
      <c r="D10" s="25" t="s">
        <v>159</v>
      </c>
      <c r="E10" s="7" t="s">
        <v>7</v>
      </c>
      <c r="F10" s="8" t="s">
        <v>113</v>
      </c>
      <c r="G10" s="1">
        <v>1</v>
      </c>
      <c r="H10" s="4" t="str">
        <f t="shared" si="0"/>
        <v/>
      </c>
    </row>
    <row r="11" spans="1:10" ht="15" customHeight="1" x14ac:dyDescent="0.35">
      <c r="A11" s="11">
        <v>2007</v>
      </c>
      <c r="B11" s="10" t="s">
        <v>161</v>
      </c>
      <c r="C11" s="13" t="s">
        <v>29</v>
      </c>
      <c r="D11" s="25" t="s">
        <v>159</v>
      </c>
      <c r="E11" s="7" t="s">
        <v>8</v>
      </c>
      <c r="F11" s="8" t="s">
        <v>114</v>
      </c>
      <c r="G11" s="1">
        <v>1</v>
      </c>
      <c r="H11" s="4" t="str">
        <f t="shared" si="0"/>
        <v/>
      </c>
    </row>
    <row r="12" spans="1:10" ht="15" customHeight="1" thickBot="1" x14ac:dyDescent="0.4">
      <c r="A12" s="11">
        <v>2008</v>
      </c>
      <c r="B12" s="10" t="s">
        <v>161</v>
      </c>
      <c r="C12" s="13" t="s">
        <v>29</v>
      </c>
      <c r="D12" s="25" t="s">
        <v>159</v>
      </c>
      <c r="E12" s="7" t="s">
        <v>8</v>
      </c>
      <c r="F12" s="8" t="s">
        <v>115</v>
      </c>
      <c r="G12" s="29">
        <v>1</v>
      </c>
      <c r="H12" s="4" t="str">
        <f t="shared" si="0"/>
        <v/>
      </c>
    </row>
    <row r="13" spans="1:10" ht="15" customHeight="1" x14ac:dyDescent="0.35">
      <c r="A13" s="11">
        <v>2009</v>
      </c>
      <c r="B13" s="10" t="s">
        <v>161</v>
      </c>
      <c r="C13" s="13" t="s">
        <v>29</v>
      </c>
      <c r="D13" s="25" t="s">
        <v>159</v>
      </c>
      <c r="E13" s="7" t="s">
        <v>8</v>
      </c>
      <c r="F13" s="8" t="s">
        <v>116</v>
      </c>
      <c r="G13" s="1">
        <v>0</v>
      </c>
      <c r="H13" s="4" t="str">
        <f t="shared" si="0"/>
        <v/>
      </c>
    </row>
    <row r="14" spans="1:10" ht="15" customHeight="1" x14ac:dyDescent="0.35">
      <c r="A14" s="11">
        <v>2010</v>
      </c>
      <c r="B14" s="10" t="s">
        <v>161</v>
      </c>
      <c r="C14" s="13" t="s">
        <v>28</v>
      </c>
      <c r="D14" s="25" t="s">
        <v>159</v>
      </c>
      <c r="E14" s="7" t="s">
        <v>8</v>
      </c>
      <c r="F14" s="8" t="s">
        <v>104</v>
      </c>
      <c r="G14" s="1">
        <v>0</v>
      </c>
      <c r="H14" s="4" t="str">
        <f t="shared" si="0"/>
        <v/>
      </c>
    </row>
    <row r="15" spans="1:10" ht="15" customHeight="1" x14ac:dyDescent="0.35">
      <c r="A15" s="11">
        <v>2011</v>
      </c>
      <c r="B15" s="10" t="s">
        <v>161</v>
      </c>
      <c r="C15" s="13" t="s">
        <v>28</v>
      </c>
      <c r="D15" s="25" t="s">
        <v>159</v>
      </c>
      <c r="E15" s="7" t="s">
        <v>8</v>
      </c>
      <c r="F15" s="8" t="s">
        <v>104</v>
      </c>
      <c r="G15" s="1">
        <v>1</v>
      </c>
      <c r="H15" s="4" t="str">
        <f t="shared" si="0"/>
        <v/>
      </c>
    </row>
    <row r="16" spans="1:10" ht="15" customHeight="1" x14ac:dyDescent="0.35">
      <c r="A16" s="11">
        <v>2012</v>
      </c>
      <c r="B16" s="10" t="s">
        <v>161</v>
      </c>
      <c r="C16" s="13" t="s">
        <v>28</v>
      </c>
      <c r="D16" s="25" t="s">
        <v>159</v>
      </c>
      <c r="E16" s="7" t="s">
        <v>8</v>
      </c>
      <c r="F16" s="8" t="s">
        <v>117</v>
      </c>
      <c r="G16" s="1">
        <v>0</v>
      </c>
      <c r="H16" s="4" t="str">
        <f t="shared" si="0"/>
        <v/>
      </c>
    </row>
    <row r="17" spans="1:8" ht="15" customHeight="1" thickBot="1" x14ac:dyDescent="0.4">
      <c r="A17" s="11">
        <v>2013</v>
      </c>
      <c r="B17" s="10" t="s">
        <v>161</v>
      </c>
      <c r="C17" s="13" t="s">
        <v>28</v>
      </c>
      <c r="D17" s="25" t="s">
        <v>159</v>
      </c>
      <c r="E17" s="7" t="s">
        <v>8</v>
      </c>
      <c r="F17" s="8" t="s">
        <v>104</v>
      </c>
      <c r="G17" s="29">
        <v>1</v>
      </c>
      <c r="H17" s="4" t="str">
        <f t="shared" si="0"/>
        <v/>
      </c>
    </row>
    <row r="18" spans="1:8" ht="15" customHeight="1" x14ac:dyDescent="0.35">
      <c r="A18" s="11">
        <v>2014</v>
      </c>
      <c r="B18" s="10" t="s">
        <v>161</v>
      </c>
      <c r="C18" s="13" t="s">
        <v>28</v>
      </c>
      <c r="D18" s="25" t="s">
        <v>159</v>
      </c>
      <c r="E18" s="7" t="s">
        <v>8</v>
      </c>
      <c r="F18" s="8" t="s">
        <v>118</v>
      </c>
      <c r="G18" s="1">
        <v>0</v>
      </c>
      <c r="H18" s="4" t="str">
        <f t="shared" si="0"/>
        <v/>
      </c>
    </row>
    <row r="19" spans="1:8" ht="15" customHeight="1" x14ac:dyDescent="0.35">
      <c r="A19" s="11">
        <v>2015</v>
      </c>
      <c r="B19" s="10" t="s">
        <v>161</v>
      </c>
      <c r="C19" s="13" t="s">
        <v>28</v>
      </c>
      <c r="D19" s="25" t="s">
        <v>159</v>
      </c>
      <c r="E19" s="7" t="s">
        <v>8</v>
      </c>
      <c r="F19" s="8" t="s">
        <v>111</v>
      </c>
      <c r="G19" s="1">
        <v>0</v>
      </c>
      <c r="H19" s="4" t="str">
        <f t="shared" si="0"/>
        <v/>
      </c>
    </row>
    <row r="20" spans="1:8" ht="15" customHeight="1" x14ac:dyDescent="0.35">
      <c r="A20" s="11">
        <v>2016</v>
      </c>
      <c r="B20" s="10" t="s">
        <v>161</v>
      </c>
      <c r="C20" s="13" t="s">
        <v>28</v>
      </c>
      <c r="D20" s="25" t="s">
        <v>159</v>
      </c>
      <c r="E20" s="7" t="s">
        <v>8</v>
      </c>
      <c r="F20" s="8" t="s">
        <v>119</v>
      </c>
      <c r="G20" s="1">
        <v>1</v>
      </c>
      <c r="H20" s="4" t="str">
        <f t="shared" si="0"/>
        <v/>
      </c>
    </row>
    <row r="21" spans="1:8" ht="15" customHeight="1" x14ac:dyDescent="0.35">
      <c r="A21" s="11">
        <v>2017</v>
      </c>
      <c r="B21" s="10" t="s">
        <v>161</v>
      </c>
      <c r="C21" s="13" t="s">
        <v>28</v>
      </c>
      <c r="D21" s="25" t="s">
        <v>159</v>
      </c>
      <c r="E21" s="7" t="s">
        <v>8</v>
      </c>
      <c r="F21" s="8" t="s">
        <v>120</v>
      </c>
      <c r="G21" s="1">
        <v>2</v>
      </c>
      <c r="H21" s="4" t="str">
        <f t="shared" si="0"/>
        <v>Can exchange</v>
      </c>
    </row>
    <row r="22" spans="1:8" ht="15" customHeight="1" thickBot="1" x14ac:dyDescent="0.4">
      <c r="A22" s="11">
        <v>2018</v>
      </c>
      <c r="B22" s="10" t="s">
        <v>161</v>
      </c>
      <c r="C22" s="13" t="s">
        <v>28</v>
      </c>
      <c r="D22" s="25" t="s">
        <v>159</v>
      </c>
      <c r="E22" s="7" t="s">
        <v>8</v>
      </c>
      <c r="F22" s="8" t="s">
        <v>175</v>
      </c>
      <c r="G22" s="29">
        <v>0</v>
      </c>
      <c r="H22" s="4" t="str">
        <f t="shared" si="0"/>
        <v/>
      </c>
    </row>
    <row r="23" spans="1:8" ht="15" customHeight="1" x14ac:dyDescent="0.35">
      <c r="A23" s="11">
        <v>2019</v>
      </c>
      <c r="B23" s="10" t="s">
        <v>161</v>
      </c>
      <c r="C23" s="13" t="s">
        <v>28</v>
      </c>
      <c r="D23" s="25" t="s">
        <v>159</v>
      </c>
      <c r="E23" s="7" t="s">
        <v>8</v>
      </c>
      <c r="F23" s="8" t="s">
        <v>173</v>
      </c>
      <c r="G23" s="3">
        <v>0</v>
      </c>
      <c r="H23" s="4" t="str">
        <f t="shared" si="0"/>
        <v/>
      </c>
    </row>
    <row r="24" spans="1:8" ht="15" customHeight="1" x14ac:dyDescent="0.35">
      <c r="A24" s="11">
        <v>2020</v>
      </c>
      <c r="B24" s="10" t="s">
        <v>161</v>
      </c>
      <c r="C24" s="13" t="s">
        <v>28</v>
      </c>
      <c r="D24" s="25" t="s">
        <v>159</v>
      </c>
      <c r="E24" s="7" t="s">
        <v>8</v>
      </c>
      <c r="F24" s="8" t="s">
        <v>174</v>
      </c>
      <c r="G24" s="3">
        <v>0</v>
      </c>
      <c r="H24" s="4" t="str">
        <f t="shared" si="0"/>
        <v/>
      </c>
    </row>
    <row r="25" spans="1:8" ht="15" customHeight="1" x14ac:dyDescent="0.35">
      <c r="A25" s="11">
        <v>2021</v>
      </c>
      <c r="B25" s="10" t="s">
        <v>161</v>
      </c>
      <c r="C25" s="13" t="s">
        <v>28</v>
      </c>
      <c r="D25" s="25" t="s">
        <v>159</v>
      </c>
      <c r="E25" s="7" t="s">
        <v>8</v>
      </c>
      <c r="F25" s="8" t="s">
        <v>186</v>
      </c>
      <c r="G25" s="3">
        <v>0</v>
      </c>
      <c r="H25" s="4" t="str">
        <f t="shared" ref="H25:H27" si="1">IF(OR(AND(G25&gt;1,G25&lt;&gt;"-")),"Can exchange","")</f>
        <v/>
      </c>
    </row>
    <row r="26" spans="1:8" ht="15" customHeight="1" x14ac:dyDescent="0.35">
      <c r="A26" s="11">
        <v>2022</v>
      </c>
      <c r="B26" s="10" t="s">
        <v>161</v>
      </c>
      <c r="C26" s="13" t="s">
        <v>28</v>
      </c>
      <c r="D26" s="25" t="s">
        <v>159</v>
      </c>
      <c r="E26" s="7" t="s">
        <v>8</v>
      </c>
      <c r="F26" s="8" t="s">
        <v>154</v>
      </c>
      <c r="G26" s="3">
        <v>0</v>
      </c>
      <c r="H26" s="4" t="str">
        <f t="shared" si="1"/>
        <v/>
      </c>
    </row>
    <row r="27" spans="1:8" ht="15" customHeight="1" x14ac:dyDescent="0.35">
      <c r="A27" s="11">
        <v>2023</v>
      </c>
      <c r="B27" s="10" t="s">
        <v>161</v>
      </c>
      <c r="C27" s="13" t="s">
        <v>28</v>
      </c>
      <c r="D27" s="25" t="s">
        <v>159</v>
      </c>
      <c r="E27" s="7" t="s">
        <v>8</v>
      </c>
      <c r="F27" s="8" t="s">
        <v>208</v>
      </c>
      <c r="G27" s="3">
        <v>0</v>
      </c>
      <c r="H27" s="4" t="str">
        <f t="shared" si="1"/>
        <v/>
      </c>
    </row>
    <row r="28" spans="1:8" ht="15" customHeight="1" x14ac:dyDescent="0.35">
      <c r="A28" s="11">
        <v>2024</v>
      </c>
      <c r="B28" s="10" t="s">
        <v>161</v>
      </c>
      <c r="C28" s="13" t="s">
        <v>28</v>
      </c>
      <c r="D28" s="25" t="s">
        <v>159</v>
      </c>
      <c r="E28" s="7" t="s">
        <v>8</v>
      </c>
      <c r="F28" s="8" t="s">
        <v>209</v>
      </c>
      <c r="G28" s="3">
        <v>0</v>
      </c>
      <c r="H28" s="4" t="str">
        <f t="shared" ref="H28:H29" si="2">IF(OR(AND(G28&gt;1,G28&lt;&gt;"-")),"Can exchange","")</f>
        <v/>
      </c>
    </row>
    <row r="29" spans="1:8" ht="15" customHeight="1" x14ac:dyDescent="0.35">
      <c r="A29" s="11">
        <v>2025</v>
      </c>
      <c r="B29" s="10" t="s">
        <v>161</v>
      </c>
      <c r="C29" s="13" t="s">
        <v>28</v>
      </c>
      <c r="D29" s="25" t="s">
        <v>159</v>
      </c>
      <c r="E29" s="7" t="s">
        <v>8</v>
      </c>
      <c r="F29" s="8"/>
      <c r="G29" s="3">
        <v>0</v>
      </c>
      <c r="H29" s="4" t="str">
        <f t="shared" si="2"/>
        <v/>
      </c>
    </row>
  </sheetData>
  <autoFilter ref="B2:F2" xr:uid="{00000000-0001-0000-0400-000000000000}"/>
  <mergeCells count="2">
    <mergeCell ref="A1:A2"/>
    <mergeCell ref="C1:E1"/>
  </mergeCells>
  <phoneticPr fontId="7" type="noConversion"/>
  <conditionalFormatting sqref="G3:G22">
    <cfRule type="containsText" dxfId="22" priority="9" operator="containsText" text="*-">
      <formula>NOT(ISERROR(SEARCH(("*-"),(G3))))</formula>
    </cfRule>
  </conditionalFormatting>
  <conditionalFormatting sqref="G3:G22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5 G23">
    <cfRule type="containsText" dxfId="21" priority="7" operator="containsText" text="*-">
      <formula>NOT(ISERROR(SEARCH(("*-"),(G23))))</formula>
    </cfRule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6 G24">
    <cfRule type="containsText" dxfId="20" priority="5" operator="containsText" text="*-">
      <formula>NOT(ISERROR(SEARCH(("*-"),(G24))))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8">
    <cfRule type="containsText" dxfId="19" priority="3" operator="containsText" text="*-">
      <formula>NOT(ISERROR(SEARCH(("*-"),(G28))))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9 G27">
    <cfRule type="containsText" dxfId="18" priority="1" operator="containsText" text="*-">
      <formula>NOT(ISERROR(SEARCH(("*-"),(G27))))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9"/>
  <sheetViews>
    <sheetView workbookViewId="0">
      <pane xSplit="8" ySplit="2" topLeftCell="I3" activePane="bottomRight" state="frozen"/>
      <selection pane="topRight" activeCell="H1" sqref="H1"/>
      <selection pane="bottomLeft" activeCell="A3" sqref="A3"/>
      <selection pane="bottomRight" activeCell="E36" sqref="E36"/>
    </sheetView>
  </sheetViews>
  <sheetFormatPr defaultRowHeight="15" customHeight="1" x14ac:dyDescent="0.35"/>
  <cols>
    <col min="1" max="1" width="5.6328125" style="5" customWidth="1"/>
    <col min="2" max="2" width="50.6328125" style="5" customWidth="1"/>
    <col min="3" max="5" width="33.6328125" style="5" customWidth="1"/>
    <col min="6" max="6" width="12.6328125" style="5" customWidth="1"/>
    <col min="7" max="7" width="3.6328125" style="5" customWidth="1"/>
    <col min="8" max="8" width="12.6328125" style="5" customWidth="1"/>
  </cols>
  <sheetData>
    <row r="1" spans="1:10" ht="15" customHeight="1" x14ac:dyDescent="0.35">
      <c r="A1" s="32" t="s">
        <v>0</v>
      </c>
      <c r="B1" s="31"/>
      <c r="C1" s="34" t="s">
        <v>1</v>
      </c>
      <c r="D1" s="36"/>
      <c r="E1" s="35"/>
      <c r="F1" s="9" t="s">
        <v>2</v>
      </c>
      <c r="G1" s="23" t="s">
        <v>10</v>
      </c>
      <c r="H1" s="2"/>
    </row>
    <row r="2" spans="1:10" ht="15" customHeight="1" x14ac:dyDescent="0.35">
      <c r="A2" s="33"/>
      <c r="B2" s="31" t="s">
        <v>195</v>
      </c>
      <c r="C2" s="8" t="s">
        <v>198</v>
      </c>
      <c r="D2" s="8" t="s">
        <v>197</v>
      </c>
      <c r="E2" s="8" t="s">
        <v>199</v>
      </c>
      <c r="F2" s="10" t="s">
        <v>27</v>
      </c>
      <c r="G2" s="8" t="s">
        <v>27</v>
      </c>
      <c r="H2" s="2"/>
    </row>
    <row r="3" spans="1:10" ht="15" customHeight="1" x14ac:dyDescent="0.35">
      <c r="A3" s="11">
        <v>1999</v>
      </c>
      <c r="B3" s="10" t="s">
        <v>161</v>
      </c>
      <c r="C3" s="13" t="s">
        <v>29</v>
      </c>
      <c r="D3" s="25" t="s">
        <v>159</v>
      </c>
      <c r="E3" s="7" t="s">
        <v>7</v>
      </c>
      <c r="F3" s="8" t="s">
        <v>121</v>
      </c>
      <c r="G3" s="1">
        <v>1</v>
      </c>
      <c r="H3" s="4" t="str">
        <f t="shared" ref="H3:H24" si="0">IF(OR(AND(G3&gt;1,G3&lt;&gt;"-")),"Can exchange","")</f>
        <v/>
      </c>
      <c r="J3" s="6"/>
    </row>
    <row r="4" spans="1:10" ht="15" customHeight="1" x14ac:dyDescent="0.35">
      <c r="A4" s="11">
        <v>2000</v>
      </c>
      <c r="B4" s="10" t="s">
        <v>161</v>
      </c>
      <c r="C4" s="13" t="s">
        <v>29</v>
      </c>
      <c r="D4" s="25" t="s">
        <v>159</v>
      </c>
      <c r="E4" s="7" t="s">
        <v>7</v>
      </c>
      <c r="F4" s="8" t="s">
        <v>122</v>
      </c>
      <c r="G4" s="1">
        <v>2</v>
      </c>
      <c r="H4" s="4" t="str">
        <f t="shared" si="0"/>
        <v>Can exchange</v>
      </c>
      <c r="J4" s="6"/>
    </row>
    <row r="5" spans="1:10" ht="15" customHeight="1" x14ac:dyDescent="0.35">
      <c r="A5" s="11">
        <v>2001</v>
      </c>
      <c r="B5" s="10" t="s">
        <v>161</v>
      </c>
      <c r="C5" s="13" t="s">
        <v>29</v>
      </c>
      <c r="D5" s="25" t="s">
        <v>159</v>
      </c>
      <c r="E5" s="7" t="s">
        <v>7</v>
      </c>
      <c r="F5" s="8" t="s">
        <v>123</v>
      </c>
      <c r="G5" s="1">
        <v>3</v>
      </c>
      <c r="H5" s="4" t="str">
        <f t="shared" si="0"/>
        <v>Can exchange</v>
      </c>
    </row>
    <row r="6" spans="1:10" ht="15" customHeight="1" x14ac:dyDescent="0.35">
      <c r="A6" s="11">
        <v>2002</v>
      </c>
      <c r="B6" s="10" t="s">
        <v>161</v>
      </c>
      <c r="C6" s="13" t="s">
        <v>29</v>
      </c>
      <c r="D6" s="25" t="s">
        <v>159</v>
      </c>
      <c r="E6" s="7" t="s">
        <v>7</v>
      </c>
      <c r="F6" s="8" t="s">
        <v>124</v>
      </c>
      <c r="G6" s="1">
        <v>0</v>
      </c>
      <c r="H6" s="4" t="str">
        <f t="shared" si="0"/>
        <v/>
      </c>
    </row>
    <row r="7" spans="1:10" ht="15" customHeight="1" thickBot="1" x14ac:dyDescent="0.4">
      <c r="A7" s="11">
        <v>2003</v>
      </c>
      <c r="B7" s="10" t="s">
        <v>161</v>
      </c>
      <c r="C7" s="13" t="s">
        <v>29</v>
      </c>
      <c r="D7" s="25" t="s">
        <v>159</v>
      </c>
      <c r="E7" s="7" t="s">
        <v>7</v>
      </c>
      <c r="F7" s="8" t="s">
        <v>125</v>
      </c>
      <c r="G7" s="29">
        <v>0</v>
      </c>
      <c r="H7" s="4" t="str">
        <f t="shared" si="0"/>
        <v/>
      </c>
    </row>
    <row r="8" spans="1:10" ht="15" customHeight="1" x14ac:dyDescent="0.35">
      <c r="A8" s="11">
        <v>2004</v>
      </c>
      <c r="B8" s="10" t="s">
        <v>161</v>
      </c>
      <c r="C8" s="13" t="s">
        <v>29</v>
      </c>
      <c r="D8" s="25" t="s">
        <v>159</v>
      </c>
      <c r="E8" s="7" t="s">
        <v>7</v>
      </c>
      <c r="F8" s="8" t="s">
        <v>126</v>
      </c>
      <c r="G8" s="1">
        <v>0</v>
      </c>
      <c r="H8" s="4" t="str">
        <f t="shared" si="0"/>
        <v/>
      </c>
    </row>
    <row r="9" spans="1:10" ht="15" customHeight="1" x14ac:dyDescent="0.35">
      <c r="A9" s="11">
        <v>2005</v>
      </c>
      <c r="B9" s="10" t="s">
        <v>161</v>
      </c>
      <c r="C9" s="13" t="s">
        <v>29</v>
      </c>
      <c r="D9" s="25" t="s">
        <v>159</v>
      </c>
      <c r="E9" s="7" t="s">
        <v>7</v>
      </c>
      <c r="F9" s="8" t="s">
        <v>112</v>
      </c>
      <c r="G9" s="1">
        <v>0</v>
      </c>
      <c r="H9" s="4" t="str">
        <f t="shared" si="0"/>
        <v/>
      </c>
    </row>
    <row r="10" spans="1:10" ht="15" customHeight="1" x14ac:dyDescent="0.35">
      <c r="A10" s="11">
        <v>2006</v>
      </c>
      <c r="B10" s="10" t="s">
        <v>161</v>
      </c>
      <c r="C10" s="13" t="s">
        <v>29</v>
      </c>
      <c r="D10" s="25" t="s">
        <v>159</v>
      </c>
      <c r="E10" s="7" t="s">
        <v>7</v>
      </c>
      <c r="F10" s="8" t="s">
        <v>104</v>
      </c>
      <c r="G10" s="1">
        <v>0</v>
      </c>
      <c r="H10" s="4" t="str">
        <f t="shared" si="0"/>
        <v/>
      </c>
    </row>
    <row r="11" spans="1:10" ht="15" customHeight="1" x14ac:dyDescent="0.35">
      <c r="A11" s="11">
        <v>2007</v>
      </c>
      <c r="B11" s="10" t="s">
        <v>161</v>
      </c>
      <c r="C11" s="13" t="s">
        <v>29</v>
      </c>
      <c r="D11" s="25" t="s">
        <v>159</v>
      </c>
      <c r="E11" s="7" t="s">
        <v>8</v>
      </c>
      <c r="F11" s="8" t="s">
        <v>104</v>
      </c>
      <c r="G11" s="1">
        <v>0</v>
      </c>
      <c r="H11" s="4" t="str">
        <f t="shared" si="0"/>
        <v/>
      </c>
    </row>
    <row r="12" spans="1:10" ht="15" customHeight="1" thickBot="1" x14ac:dyDescent="0.4">
      <c r="A12" s="11">
        <v>2008</v>
      </c>
      <c r="B12" s="10" t="s">
        <v>161</v>
      </c>
      <c r="C12" s="13" t="s">
        <v>29</v>
      </c>
      <c r="D12" s="25" t="s">
        <v>159</v>
      </c>
      <c r="E12" s="7" t="s">
        <v>8</v>
      </c>
      <c r="F12" s="8" t="s">
        <v>104</v>
      </c>
      <c r="G12" s="29">
        <v>0</v>
      </c>
      <c r="H12" s="4" t="str">
        <f t="shared" si="0"/>
        <v/>
      </c>
    </row>
    <row r="13" spans="1:10" ht="15" customHeight="1" x14ac:dyDescent="0.35">
      <c r="A13" s="11">
        <v>2009</v>
      </c>
      <c r="B13" s="10" t="s">
        <v>161</v>
      </c>
      <c r="C13" s="13" t="s">
        <v>29</v>
      </c>
      <c r="D13" s="25" t="s">
        <v>159</v>
      </c>
      <c r="E13" s="7" t="s">
        <v>8</v>
      </c>
      <c r="F13" s="8" t="s">
        <v>104</v>
      </c>
      <c r="G13" s="1">
        <v>0</v>
      </c>
      <c r="H13" s="4" t="str">
        <f t="shared" si="0"/>
        <v/>
      </c>
    </row>
    <row r="14" spans="1:10" ht="15" customHeight="1" x14ac:dyDescent="0.35">
      <c r="A14" s="11">
        <v>2010</v>
      </c>
      <c r="B14" s="10" t="s">
        <v>161</v>
      </c>
      <c r="C14" s="13" t="s">
        <v>28</v>
      </c>
      <c r="D14" s="25" t="s">
        <v>159</v>
      </c>
      <c r="E14" s="7" t="s">
        <v>8</v>
      </c>
      <c r="F14" s="8" t="s">
        <v>104</v>
      </c>
      <c r="G14" s="1">
        <v>0</v>
      </c>
      <c r="H14" s="4" t="str">
        <f t="shared" si="0"/>
        <v/>
      </c>
    </row>
    <row r="15" spans="1:10" ht="15" customHeight="1" x14ac:dyDescent="0.35">
      <c r="A15" s="11">
        <v>2011</v>
      </c>
      <c r="B15" s="10" t="s">
        <v>161</v>
      </c>
      <c r="C15" s="13" t="s">
        <v>28</v>
      </c>
      <c r="D15" s="25" t="s">
        <v>159</v>
      </c>
      <c r="E15" s="7" t="s">
        <v>8</v>
      </c>
      <c r="F15" s="8" t="s">
        <v>111</v>
      </c>
      <c r="G15" s="1">
        <v>0</v>
      </c>
      <c r="H15" s="4" t="str">
        <f t="shared" si="0"/>
        <v/>
      </c>
    </row>
    <row r="16" spans="1:10" ht="15" customHeight="1" x14ac:dyDescent="0.35">
      <c r="A16" s="11">
        <v>2012</v>
      </c>
      <c r="B16" s="10" t="s">
        <v>161</v>
      </c>
      <c r="C16" s="13" t="s">
        <v>28</v>
      </c>
      <c r="D16" s="25" t="s">
        <v>159</v>
      </c>
      <c r="E16" s="7" t="s">
        <v>8</v>
      </c>
      <c r="F16" s="8" t="s">
        <v>104</v>
      </c>
      <c r="G16" s="1">
        <v>0</v>
      </c>
      <c r="H16" s="4" t="str">
        <f t="shared" si="0"/>
        <v/>
      </c>
    </row>
    <row r="17" spans="1:8" ht="15" customHeight="1" thickBot="1" x14ac:dyDescent="0.4">
      <c r="A17" s="11">
        <v>2013</v>
      </c>
      <c r="B17" s="10" t="s">
        <v>161</v>
      </c>
      <c r="C17" s="13" t="s">
        <v>28</v>
      </c>
      <c r="D17" s="25" t="s">
        <v>159</v>
      </c>
      <c r="E17" s="7" t="s">
        <v>8</v>
      </c>
      <c r="F17" s="8" t="s">
        <v>104</v>
      </c>
      <c r="G17" s="29">
        <v>0</v>
      </c>
      <c r="H17" s="4" t="str">
        <f t="shared" si="0"/>
        <v/>
      </c>
    </row>
    <row r="18" spans="1:8" ht="15" customHeight="1" x14ac:dyDescent="0.35">
      <c r="A18" s="11">
        <v>2014</v>
      </c>
      <c r="B18" s="10" t="s">
        <v>161</v>
      </c>
      <c r="C18" s="13" t="s">
        <v>28</v>
      </c>
      <c r="D18" s="25" t="s">
        <v>159</v>
      </c>
      <c r="E18" s="7" t="s">
        <v>8</v>
      </c>
      <c r="F18" s="8" t="s">
        <v>127</v>
      </c>
      <c r="G18" s="1">
        <v>0</v>
      </c>
      <c r="H18" s="4" t="str">
        <f t="shared" si="0"/>
        <v/>
      </c>
    </row>
    <row r="19" spans="1:8" ht="15" customHeight="1" x14ac:dyDescent="0.35">
      <c r="A19" s="11">
        <v>2015</v>
      </c>
      <c r="B19" s="10" t="s">
        <v>161</v>
      </c>
      <c r="C19" s="13" t="s">
        <v>28</v>
      </c>
      <c r="D19" s="25" t="s">
        <v>159</v>
      </c>
      <c r="E19" s="7" t="s">
        <v>8</v>
      </c>
      <c r="F19" s="8" t="s">
        <v>111</v>
      </c>
      <c r="G19" s="1">
        <v>1</v>
      </c>
      <c r="H19" s="4" t="str">
        <f t="shared" si="0"/>
        <v/>
      </c>
    </row>
    <row r="20" spans="1:8" ht="15" customHeight="1" x14ac:dyDescent="0.35">
      <c r="A20" s="11">
        <v>2016</v>
      </c>
      <c r="B20" s="10" t="s">
        <v>161</v>
      </c>
      <c r="C20" s="13" t="s">
        <v>28</v>
      </c>
      <c r="D20" s="25" t="s">
        <v>159</v>
      </c>
      <c r="E20" s="7" t="s">
        <v>8</v>
      </c>
      <c r="F20" s="8" t="s">
        <v>128</v>
      </c>
      <c r="G20" s="1">
        <v>2</v>
      </c>
      <c r="H20" s="4" t="str">
        <f t="shared" si="0"/>
        <v>Can exchange</v>
      </c>
    </row>
    <row r="21" spans="1:8" ht="15" customHeight="1" x14ac:dyDescent="0.35">
      <c r="A21" s="11">
        <v>2017</v>
      </c>
      <c r="B21" s="10" t="s">
        <v>161</v>
      </c>
      <c r="C21" s="13" t="s">
        <v>28</v>
      </c>
      <c r="D21" s="25" t="s">
        <v>159</v>
      </c>
      <c r="E21" s="7" t="s">
        <v>8</v>
      </c>
      <c r="F21" s="8" t="s">
        <v>129</v>
      </c>
      <c r="G21" s="1">
        <v>0</v>
      </c>
      <c r="H21" s="4" t="str">
        <f t="shared" si="0"/>
        <v/>
      </c>
    </row>
    <row r="22" spans="1:8" ht="15" customHeight="1" thickBot="1" x14ac:dyDescent="0.4">
      <c r="A22" s="11">
        <v>2018</v>
      </c>
      <c r="B22" s="10" t="s">
        <v>161</v>
      </c>
      <c r="C22" s="13" t="s">
        <v>28</v>
      </c>
      <c r="D22" s="25" t="s">
        <v>159</v>
      </c>
      <c r="E22" s="7" t="s">
        <v>8</v>
      </c>
      <c r="F22" s="8" t="s">
        <v>153</v>
      </c>
      <c r="G22" s="29">
        <v>0</v>
      </c>
      <c r="H22" s="4" t="str">
        <f t="shared" si="0"/>
        <v/>
      </c>
    </row>
    <row r="23" spans="1:8" ht="15" customHeight="1" x14ac:dyDescent="0.35">
      <c r="A23" s="11">
        <v>2019</v>
      </c>
      <c r="B23" s="10" t="s">
        <v>161</v>
      </c>
      <c r="C23" s="13" t="s">
        <v>28</v>
      </c>
      <c r="D23" s="25" t="s">
        <v>159</v>
      </c>
      <c r="E23" s="7" t="s">
        <v>8</v>
      </c>
      <c r="F23" s="8" t="s">
        <v>178</v>
      </c>
      <c r="G23" s="3">
        <v>0</v>
      </c>
      <c r="H23" s="4" t="str">
        <f t="shared" si="0"/>
        <v/>
      </c>
    </row>
    <row r="24" spans="1:8" ht="15" customHeight="1" x14ac:dyDescent="0.35">
      <c r="A24" s="11">
        <v>2020</v>
      </c>
      <c r="B24" s="10" t="s">
        <v>161</v>
      </c>
      <c r="C24" s="13" t="s">
        <v>28</v>
      </c>
      <c r="D24" s="25" t="s">
        <v>159</v>
      </c>
      <c r="E24" s="7" t="s">
        <v>8</v>
      </c>
      <c r="F24" s="8" t="s">
        <v>153</v>
      </c>
      <c r="G24" s="3">
        <v>0</v>
      </c>
      <c r="H24" s="4" t="str">
        <f t="shared" si="0"/>
        <v/>
      </c>
    </row>
    <row r="25" spans="1:8" ht="15" customHeight="1" x14ac:dyDescent="0.35">
      <c r="A25" s="11">
        <v>2021</v>
      </c>
      <c r="B25" s="10" t="s">
        <v>161</v>
      </c>
      <c r="C25" s="13" t="s">
        <v>28</v>
      </c>
      <c r="D25" s="25" t="s">
        <v>159</v>
      </c>
      <c r="E25" s="7" t="s">
        <v>8</v>
      </c>
      <c r="F25" s="8" t="s">
        <v>187</v>
      </c>
      <c r="G25" s="3">
        <v>0</v>
      </c>
      <c r="H25" s="4" t="str">
        <f t="shared" ref="H25:H27" si="1">IF(OR(AND(G25&gt;1,G25&lt;&gt;"-")),"Can exchange","")</f>
        <v/>
      </c>
    </row>
    <row r="26" spans="1:8" ht="15" customHeight="1" x14ac:dyDescent="0.35">
      <c r="A26" s="11">
        <v>2022</v>
      </c>
      <c r="B26" s="10" t="s">
        <v>161</v>
      </c>
      <c r="C26" s="13" t="s">
        <v>28</v>
      </c>
      <c r="D26" s="25" t="s">
        <v>159</v>
      </c>
      <c r="E26" s="7" t="s">
        <v>8</v>
      </c>
      <c r="F26" s="8" t="s">
        <v>112</v>
      </c>
      <c r="G26" s="3">
        <v>0</v>
      </c>
      <c r="H26" s="4" t="str">
        <f t="shared" si="1"/>
        <v/>
      </c>
    </row>
    <row r="27" spans="1:8" ht="15" customHeight="1" x14ac:dyDescent="0.35">
      <c r="A27" s="11">
        <v>2023</v>
      </c>
      <c r="B27" s="10" t="s">
        <v>161</v>
      </c>
      <c r="C27" s="13" t="s">
        <v>28</v>
      </c>
      <c r="D27" s="25" t="s">
        <v>159</v>
      </c>
      <c r="E27" s="7" t="s">
        <v>8</v>
      </c>
      <c r="F27" s="8" t="s">
        <v>210</v>
      </c>
      <c r="G27" s="3">
        <v>0</v>
      </c>
      <c r="H27" s="4" t="str">
        <f t="shared" si="1"/>
        <v/>
      </c>
    </row>
    <row r="28" spans="1:8" ht="15" customHeight="1" x14ac:dyDescent="0.35">
      <c r="A28" s="11">
        <v>2024</v>
      </c>
      <c r="B28" s="10" t="s">
        <v>161</v>
      </c>
      <c r="C28" s="13" t="s">
        <v>28</v>
      </c>
      <c r="D28" s="25" t="s">
        <v>159</v>
      </c>
      <c r="E28" s="7" t="s">
        <v>8</v>
      </c>
      <c r="F28" s="8" t="s">
        <v>211</v>
      </c>
      <c r="G28" s="3">
        <v>0</v>
      </c>
      <c r="H28" s="4" t="str">
        <f t="shared" ref="H28:H29" si="2">IF(OR(AND(G28&gt;1,G28&lt;&gt;"-")),"Can exchange","")</f>
        <v/>
      </c>
    </row>
    <row r="29" spans="1:8" ht="15" customHeight="1" x14ac:dyDescent="0.35">
      <c r="A29" s="11">
        <v>2025</v>
      </c>
      <c r="B29" s="10" t="s">
        <v>161</v>
      </c>
      <c r="C29" s="13" t="s">
        <v>28</v>
      </c>
      <c r="D29" s="25" t="s">
        <v>159</v>
      </c>
      <c r="E29" s="7" t="s">
        <v>8</v>
      </c>
      <c r="F29" s="8"/>
      <c r="G29" s="3">
        <v>0</v>
      </c>
      <c r="H29" s="4" t="str">
        <f t="shared" si="2"/>
        <v/>
      </c>
    </row>
  </sheetData>
  <autoFilter ref="B2:F2" xr:uid="{00000000-0001-0000-0500-000000000000}"/>
  <mergeCells count="2">
    <mergeCell ref="A1:A2"/>
    <mergeCell ref="C1:E1"/>
  </mergeCells>
  <phoneticPr fontId="7" type="noConversion"/>
  <conditionalFormatting sqref="G3:G22">
    <cfRule type="containsText" dxfId="17" priority="7" operator="containsText" text="*-">
      <formula>NOT(ISERROR(SEARCH(("*-"),(G3))))</formula>
    </cfRule>
  </conditionalFormatting>
  <conditionalFormatting sqref="G3:G22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5 G23">
    <cfRule type="containsText" dxfId="16" priority="9" operator="containsText" text="*-">
      <formula>NOT(ISERROR(SEARCH(("*-"),(G23))))</formula>
    </cfRule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6 G24">
    <cfRule type="containsText" dxfId="15" priority="5" operator="containsText" text="*-">
      <formula>NOT(ISERROR(SEARCH(("*-"),(G24))))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8">
    <cfRule type="containsText" dxfId="14" priority="3" operator="containsText" text="*-">
      <formula>NOT(ISERROR(SEARCH(("*-"),(G28))))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9 G27">
    <cfRule type="containsText" dxfId="13" priority="1" operator="containsText" text="*-">
      <formula>NOT(ISERROR(SEARCH(("*-"),(G27))))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29"/>
  <sheetViews>
    <sheetView workbookViewId="0">
      <pane xSplit="8" ySplit="2" topLeftCell="I3" activePane="bottomRight" state="frozen"/>
      <selection pane="topRight" activeCell="H1" sqref="H1"/>
      <selection pane="bottomLeft" activeCell="A3" sqref="A3"/>
      <selection pane="bottomRight" activeCell="F28" sqref="F28"/>
    </sheetView>
  </sheetViews>
  <sheetFormatPr defaultRowHeight="15" customHeight="1" x14ac:dyDescent="0.35"/>
  <cols>
    <col min="1" max="1" width="5.6328125" style="5" customWidth="1"/>
    <col min="2" max="2" width="50.6328125" style="5" customWidth="1"/>
    <col min="3" max="5" width="33.6328125" style="5" customWidth="1"/>
    <col min="6" max="6" width="12.6328125" style="5" customWidth="1"/>
    <col min="7" max="7" width="3.6328125" style="5" customWidth="1"/>
    <col min="8" max="8" width="12.6328125" style="5" customWidth="1"/>
  </cols>
  <sheetData>
    <row r="1" spans="1:10" ht="15" customHeight="1" x14ac:dyDescent="0.35">
      <c r="A1" s="32" t="s">
        <v>0</v>
      </c>
      <c r="B1" s="31"/>
      <c r="C1" s="34" t="s">
        <v>1</v>
      </c>
      <c r="D1" s="36"/>
      <c r="E1" s="35"/>
      <c r="F1" s="9" t="s">
        <v>2</v>
      </c>
      <c r="G1" s="23" t="s">
        <v>11</v>
      </c>
      <c r="H1" s="2"/>
    </row>
    <row r="2" spans="1:10" ht="15" customHeight="1" x14ac:dyDescent="0.35">
      <c r="A2" s="33"/>
      <c r="B2" s="31" t="s">
        <v>195</v>
      </c>
      <c r="C2" s="8" t="s">
        <v>198</v>
      </c>
      <c r="D2" s="8" t="s">
        <v>197</v>
      </c>
      <c r="E2" s="8" t="s">
        <v>199</v>
      </c>
      <c r="F2" s="10" t="s">
        <v>27</v>
      </c>
      <c r="G2" s="8" t="s">
        <v>27</v>
      </c>
      <c r="H2" s="2"/>
    </row>
    <row r="3" spans="1:10" ht="15" customHeight="1" x14ac:dyDescent="0.35">
      <c r="A3" s="11">
        <v>1999</v>
      </c>
      <c r="B3" s="12" t="s">
        <v>162</v>
      </c>
      <c r="C3" s="13" t="s">
        <v>29</v>
      </c>
      <c r="D3" s="25" t="s">
        <v>159</v>
      </c>
      <c r="E3" s="7" t="s">
        <v>7</v>
      </c>
      <c r="F3" s="8" t="s">
        <v>130</v>
      </c>
      <c r="G3" s="1">
        <v>0</v>
      </c>
      <c r="H3" s="4" t="str">
        <f t="shared" ref="H3:H24" si="0">IF(OR(AND(G3&gt;1,G3&lt;&gt;"-")),"Can exchange","")</f>
        <v/>
      </c>
      <c r="J3" s="6"/>
    </row>
    <row r="4" spans="1:10" ht="15" customHeight="1" x14ac:dyDescent="0.35">
      <c r="A4" s="11">
        <v>2000</v>
      </c>
      <c r="B4" s="12" t="s">
        <v>162</v>
      </c>
      <c r="C4" s="13" t="s">
        <v>29</v>
      </c>
      <c r="D4" s="25" t="s">
        <v>159</v>
      </c>
      <c r="E4" s="7" t="s">
        <v>7</v>
      </c>
      <c r="F4" s="8" t="s">
        <v>131</v>
      </c>
      <c r="G4" s="1">
        <v>1</v>
      </c>
      <c r="H4" s="4" t="str">
        <f t="shared" si="0"/>
        <v/>
      </c>
      <c r="I4" s="15"/>
      <c r="J4" s="6"/>
    </row>
    <row r="5" spans="1:10" ht="15" customHeight="1" x14ac:dyDescent="0.35">
      <c r="A5" s="11">
        <v>2001</v>
      </c>
      <c r="B5" s="12" t="s">
        <v>162</v>
      </c>
      <c r="C5" s="13" t="s">
        <v>29</v>
      </c>
      <c r="D5" s="25" t="s">
        <v>159</v>
      </c>
      <c r="E5" s="7" t="s">
        <v>7</v>
      </c>
      <c r="F5" s="8" t="s">
        <v>132</v>
      </c>
      <c r="G5" s="1">
        <v>1</v>
      </c>
      <c r="H5" s="4" t="str">
        <f t="shared" si="0"/>
        <v/>
      </c>
    </row>
    <row r="6" spans="1:10" ht="15" customHeight="1" x14ac:dyDescent="0.35">
      <c r="A6" s="11">
        <v>2002</v>
      </c>
      <c r="B6" s="12" t="s">
        <v>162</v>
      </c>
      <c r="C6" s="13" t="s">
        <v>29</v>
      </c>
      <c r="D6" s="25" t="s">
        <v>159</v>
      </c>
      <c r="E6" s="7" t="s">
        <v>7</v>
      </c>
      <c r="F6" s="8" t="s">
        <v>133</v>
      </c>
      <c r="G6" s="1">
        <v>2</v>
      </c>
      <c r="H6" s="4" t="str">
        <f t="shared" si="0"/>
        <v>Can exchange</v>
      </c>
    </row>
    <row r="7" spans="1:10" ht="15" customHeight="1" thickBot="1" x14ac:dyDescent="0.4">
      <c r="A7" s="11">
        <v>2003</v>
      </c>
      <c r="B7" s="12" t="s">
        <v>162</v>
      </c>
      <c r="C7" s="13" t="s">
        <v>29</v>
      </c>
      <c r="D7" s="25" t="s">
        <v>159</v>
      </c>
      <c r="E7" s="7" t="s">
        <v>7</v>
      </c>
      <c r="F7" s="8" t="s">
        <v>134</v>
      </c>
      <c r="G7" s="29">
        <v>1</v>
      </c>
      <c r="H7" s="4" t="str">
        <f t="shared" si="0"/>
        <v/>
      </c>
    </row>
    <row r="8" spans="1:10" ht="15" customHeight="1" x14ac:dyDescent="0.35">
      <c r="A8" s="11">
        <v>2004</v>
      </c>
      <c r="B8" s="12" t="s">
        <v>162</v>
      </c>
      <c r="C8" s="13" t="s">
        <v>29</v>
      </c>
      <c r="D8" s="25" t="s">
        <v>159</v>
      </c>
      <c r="E8" s="7" t="s">
        <v>7</v>
      </c>
      <c r="F8" s="8" t="s">
        <v>135</v>
      </c>
      <c r="G8" s="1">
        <v>0</v>
      </c>
      <c r="H8" s="4" t="str">
        <f t="shared" si="0"/>
        <v/>
      </c>
    </row>
    <row r="9" spans="1:10" ht="15" customHeight="1" x14ac:dyDescent="0.35">
      <c r="A9" s="11">
        <v>2005</v>
      </c>
      <c r="B9" s="12" t="s">
        <v>162</v>
      </c>
      <c r="C9" s="13" t="s">
        <v>29</v>
      </c>
      <c r="D9" s="25" t="s">
        <v>159</v>
      </c>
      <c r="E9" s="7" t="s">
        <v>7</v>
      </c>
      <c r="F9" s="8" t="s">
        <v>136</v>
      </c>
      <c r="G9" s="1">
        <v>1</v>
      </c>
      <c r="H9" s="4" t="str">
        <f t="shared" si="0"/>
        <v/>
      </c>
    </row>
    <row r="10" spans="1:10" ht="15" customHeight="1" x14ac:dyDescent="0.35">
      <c r="A10" s="11">
        <v>2006</v>
      </c>
      <c r="B10" s="12" t="s">
        <v>162</v>
      </c>
      <c r="C10" s="13" t="s">
        <v>29</v>
      </c>
      <c r="D10" s="25" t="s">
        <v>159</v>
      </c>
      <c r="E10" s="7" t="s">
        <v>7</v>
      </c>
      <c r="F10" s="8" t="s">
        <v>137</v>
      </c>
      <c r="G10" s="1">
        <v>2</v>
      </c>
      <c r="H10" s="4" t="str">
        <f t="shared" si="0"/>
        <v>Can exchange</v>
      </c>
    </row>
    <row r="11" spans="1:10" ht="15" customHeight="1" x14ac:dyDescent="0.35">
      <c r="A11" s="11">
        <v>2007</v>
      </c>
      <c r="B11" s="12" t="s">
        <v>162</v>
      </c>
      <c r="C11" s="13" t="s">
        <v>29</v>
      </c>
      <c r="D11" s="25" t="s">
        <v>159</v>
      </c>
      <c r="E11" s="7" t="s">
        <v>8</v>
      </c>
      <c r="F11" s="8" t="s">
        <v>138</v>
      </c>
      <c r="G11" s="1">
        <v>2</v>
      </c>
      <c r="H11" s="4" t="str">
        <f t="shared" si="0"/>
        <v>Can exchange</v>
      </c>
    </row>
    <row r="12" spans="1:10" ht="15" customHeight="1" thickBot="1" x14ac:dyDescent="0.4">
      <c r="A12" s="11">
        <v>2008</v>
      </c>
      <c r="B12" s="12" t="s">
        <v>162</v>
      </c>
      <c r="C12" s="13" t="s">
        <v>29</v>
      </c>
      <c r="D12" s="25" t="s">
        <v>159</v>
      </c>
      <c r="E12" s="7" t="s">
        <v>8</v>
      </c>
      <c r="F12" s="8" t="s">
        <v>139</v>
      </c>
      <c r="G12" s="29">
        <v>1</v>
      </c>
      <c r="H12" s="4" t="str">
        <f t="shared" si="0"/>
        <v/>
      </c>
    </row>
    <row r="13" spans="1:10" ht="15" customHeight="1" x14ac:dyDescent="0.35">
      <c r="A13" s="11">
        <v>2009</v>
      </c>
      <c r="B13" s="12" t="s">
        <v>162</v>
      </c>
      <c r="C13" s="13" t="s">
        <v>29</v>
      </c>
      <c r="D13" s="25" t="s">
        <v>159</v>
      </c>
      <c r="E13" s="7" t="s">
        <v>8</v>
      </c>
      <c r="F13" s="8" t="s">
        <v>140</v>
      </c>
      <c r="G13" s="1">
        <v>2</v>
      </c>
      <c r="H13" s="4" t="str">
        <f t="shared" si="0"/>
        <v>Can exchange</v>
      </c>
    </row>
    <row r="14" spans="1:10" ht="15" customHeight="1" x14ac:dyDescent="0.35">
      <c r="A14" s="11">
        <v>2010</v>
      </c>
      <c r="B14" s="12" t="s">
        <v>162</v>
      </c>
      <c r="C14" s="13" t="s">
        <v>28</v>
      </c>
      <c r="D14" s="25" t="s">
        <v>159</v>
      </c>
      <c r="E14" s="7" t="s">
        <v>8</v>
      </c>
      <c r="F14" s="8" t="s">
        <v>141</v>
      </c>
      <c r="G14" s="1">
        <v>2</v>
      </c>
      <c r="H14" s="4" t="str">
        <f t="shared" si="0"/>
        <v>Can exchange</v>
      </c>
    </row>
    <row r="15" spans="1:10" ht="15" customHeight="1" x14ac:dyDescent="0.35">
      <c r="A15" s="11">
        <v>2011</v>
      </c>
      <c r="B15" s="12" t="s">
        <v>162</v>
      </c>
      <c r="C15" s="13" t="s">
        <v>28</v>
      </c>
      <c r="D15" s="25" t="s">
        <v>159</v>
      </c>
      <c r="E15" s="7" t="s">
        <v>8</v>
      </c>
      <c r="F15" s="8" t="s">
        <v>142</v>
      </c>
      <c r="G15" s="1">
        <v>2</v>
      </c>
      <c r="H15" s="4" t="str">
        <f t="shared" si="0"/>
        <v>Can exchange</v>
      </c>
    </row>
    <row r="16" spans="1:10" ht="15" customHeight="1" x14ac:dyDescent="0.35">
      <c r="A16" s="11">
        <v>2012</v>
      </c>
      <c r="B16" s="12" t="s">
        <v>162</v>
      </c>
      <c r="C16" s="13" t="s">
        <v>28</v>
      </c>
      <c r="D16" s="25" t="s">
        <v>159</v>
      </c>
      <c r="E16" s="7" t="s">
        <v>8</v>
      </c>
      <c r="F16" s="8" t="s">
        <v>143</v>
      </c>
      <c r="G16" s="1">
        <v>0</v>
      </c>
      <c r="H16" s="4" t="str">
        <f t="shared" si="0"/>
        <v/>
      </c>
    </row>
    <row r="17" spans="1:22" ht="15" customHeight="1" thickBot="1" x14ac:dyDescent="0.4">
      <c r="A17" s="11">
        <v>2013</v>
      </c>
      <c r="B17" s="12" t="s">
        <v>162</v>
      </c>
      <c r="C17" s="13" t="s">
        <v>28</v>
      </c>
      <c r="D17" s="25" t="s">
        <v>159</v>
      </c>
      <c r="E17" s="7" t="s">
        <v>8</v>
      </c>
      <c r="F17" s="8" t="s">
        <v>104</v>
      </c>
      <c r="G17" s="29">
        <v>0</v>
      </c>
      <c r="H17" s="4" t="str">
        <f t="shared" si="0"/>
        <v/>
      </c>
    </row>
    <row r="18" spans="1:22" ht="15" customHeight="1" x14ac:dyDescent="0.35">
      <c r="A18" s="11">
        <v>2014</v>
      </c>
      <c r="B18" s="12" t="s">
        <v>162</v>
      </c>
      <c r="C18" s="13" t="s">
        <v>28</v>
      </c>
      <c r="D18" s="25" t="s">
        <v>159</v>
      </c>
      <c r="E18" s="7" t="s">
        <v>8</v>
      </c>
      <c r="F18" s="8" t="s">
        <v>144</v>
      </c>
      <c r="G18" s="1">
        <v>0</v>
      </c>
      <c r="H18" s="4" t="str">
        <f t="shared" si="0"/>
        <v/>
      </c>
    </row>
    <row r="19" spans="1:22" ht="15" customHeight="1" x14ac:dyDescent="0.35">
      <c r="A19" s="11">
        <v>2015</v>
      </c>
      <c r="B19" s="12" t="s">
        <v>163</v>
      </c>
      <c r="C19" s="13" t="s">
        <v>28</v>
      </c>
      <c r="D19" s="25" t="s">
        <v>159</v>
      </c>
      <c r="E19" s="7" t="s">
        <v>8</v>
      </c>
      <c r="F19" s="8" t="s">
        <v>145</v>
      </c>
      <c r="G19" s="1">
        <v>0</v>
      </c>
      <c r="H19" s="4" t="str">
        <f t="shared" si="0"/>
        <v/>
      </c>
    </row>
    <row r="20" spans="1:22" ht="15" customHeight="1" x14ac:dyDescent="0.35">
      <c r="A20" s="11">
        <v>2016</v>
      </c>
      <c r="B20" s="12" t="s">
        <v>163</v>
      </c>
      <c r="C20" s="13" t="s">
        <v>28</v>
      </c>
      <c r="D20" s="25" t="s">
        <v>159</v>
      </c>
      <c r="E20" s="7" t="s">
        <v>8</v>
      </c>
      <c r="F20" s="8" t="s">
        <v>146</v>
      </c>
      <c r="G20" s="1">
        <v>2</v>
      </c>
      <c r="H20" s="4" t="str">
        <f t="shared" si="0"/>
        <v>Can exchange</v>
      </c>
    </row>
    <row r="21" spans="1:22" ht="15" customHeight="1" x14ac:dyDescent="0.35">
      <c r="A21" s="11">
        <v>2017</v>
      </c>
      <c r="B21" s="12" t="s">
        <v>163</v>
      </c>
      <c r="C21" s="13" t="s">
        <v>28</v>
      </c>
      <c r="D21" s="25" t="s">
        <v>159</v>
      </c>
      <c r="E21" s="7" t="s">
        <v>8</v>
      </c>
      <c r="F21" s="8" t="s">
        <v>147</v>
      </c>
      <c r="G21" s="1">
        <v>1</v>
      </c>
      <c r="H21" s="4" t="str">
        <f t="shared" si="0"/>
        <v/>
      </c>
    </row>
    <row r="22" spans="1:22" ht="15" customHeight="1" thickBot="1" x14ac:dyDescent="0.4">
      <c r="A22" s="11">
        <v>2018</v>
      </c>
      <c r="B22" s="12" t="s">
        <v>163</v>
      </c>
      <c r="C22" s="13" t="s">
        <v>28</v>
      </c>
      <c r="D22" s="25" t="s">
        <v>159</v>
      </c>
      <c r="E22" s="7" t="s">
        <v>8</v>
      </c>
      <c r="F22" s="8" t="s">
        <v>179</v>
      </c>
      <c r="G22" s="29">
        <v>0</v>
      </c>
      <c r="H22" s="4" t="str">
        <f t="shared" si="0"/>
        <v/>
      </c>
    </row>
    <row r="23" spans="1:22" ht="15" customHeight="1" x14ac:dyDescent="0.35">
      <c r="A23" s="11">
        <v>2019</v>
      </c>
      <c r="B23" s="12" t="s">
        <v>163</v>
      </c>
      <c r="C23" s="13" t="s">
        <v>28</v>
      </c>
      <c r="D23" s="25" t="s">
        <v>159</v>
      </c>
      <c r="E23" s="7" t="s">
        <v>8</v>
      </c>
      <c r="F23" s="8" t="s">
        <v>180</v>
      </c>
      <c r="G23" s="3">
        <v>0</v>
      </c>
      <c r="H23" s="4" t="str">
        <f t="shared" si="0"/>
        <v/>
      </c>
    </row>
    <row r="24" spans="1:22" ht="15" customHeight="1" x14ac:dyDescent="0.35">
      <c r="A24" s="11">
        <v>2020</v>
      </c>
      <c r="B24" s="12" t="s">
        <v>163</v>
      </c>
      <c r="C24" s="13" t="s">
        <v>28</v>
      </c>
      <c r="D24" s="25" t="s">
        <v>159</v>
      </c>
      <c r="E24" s="7" t="s">
        <v>8</v>
      </c>
      <c r="F24" s="8" t="s">
        <v>181</v>
      </c>
      <c r="G24" s="3">
        <v>0</v>
      </c>
      <c r="H24" s="4" t="str">
        <f t="shared" si="0"/>
        <v/>
      </c>
      <c r="V24" s="26"/>
    </row>
    <row r="25" spans="1:22" ht="15" customHeight="1" x14ac:dyDescent="0.35">
      <c r="A25" s="11">
        <v>2021</v>
      </c>
      <c r="B25" s="12" t="s">
        <v>163</v>
      </c>
      <c r="C25" s="13" t="s">
        <v>28</v>
      </c>
      <c r="D25" s="25" t="s">
        <v>159</v>
      </c>
      <c r="E25" s="7" t="s">
        <v>8</v>
      </c>
      <c r="F25" s="8" t="s">
        <v>188</v>
      </c>
      <c r="G25" s="3">
        <v>0</v>
      </c>
      <c r="H25" s="4" t="str">
        <f t="shared" ref="H25:H27" si="1">IF(OR(AND(G25&gt;1,G25&lt;&gt;"-")),"Can exchange","")</f>
        <v/>
      </c>
    </row>
    <row r="26" spans="1:22" ht="15" customHeight="1" x14ac:dyDescent="0.35">
      <c r="A26" s="11">
        <v>2022</v>
      </c>
      <c r="B26" s="12" t="s">
        <v>163</v>
      </c>
      <c r="C26" s="13" t="s">
        <v>28</v>
      </c>
      <c r="D26" s="25" t="s">
        <v>159</v>
      </c>
      <c r="E26" s="7" t="s">
        <v>8</v>
      </c>
      <c r="F26" s="8" t="s">
        <v>193</v>
      </c>
      <c r="G26" s="3">
        <v>0</v>
      </c>
      <c r="H26" s="4" t="str">
        <f t="shared" si="1"/>
        <v/>
      </c>
    </row>
    <row r="27" spans="1:22" ht="15" customHeight="1" x14ac:dyDescent="0.35">
      <c r="A27" s="11">
        <v>2023</v>
      </c>
      <c r="B27" s="12" t="s">
        <v>163</v>
      </c>
      <c r="C27" s="13" t="s">
        <v>28</v>
      </c>
      <c r="D27" s="25" t="s">
        <v>159</v>
      </c>
      <c r="E27" s="7" t="s">
        <v>8</v>
      </c>
      <c r="F27" s="8" t="s">
        <v>212</v>
      </c>
      <c r="G27" s="3">
        <v>0</v>
      </c>
      <c r="H27" s="4" t="str">
        <f t="shared" si="1"/>
        <v/>
      </c>
    </row>
    <row r="28" spans="1:22" ht="15" customHeight="1" x14ac:dyDescent="0.35">
      <c r="A28" s="11">
        <v>2024</v>
      </c>
      <c r="B28" s="12" t="s">
        <v>163</v>
      </c>
      <c r="C28" s="13" t="s">
        <v>28</v>
      </c>
      <c r="D28" s="25" t="s">
        <v>159</v>
      </c>
      <c r="E28" s="7" t="s">
        <v>8</v>
      </c>
      <c r="F28" s="8" t="s">
        <v>213</v>
      </c>
      <c r="G28" s="3">
        <v>0</v>
      </c>
      <c r="H28" s="4" t="str">
        <f t="shared" ref="H28:H29" si="2">IF(OR(AND(G28&gt;1,G28&lt;&gt;"-")),"Can exchange","")</f>
        <v/>
      </c>
    </row>
    <row r="29" spans="1:22" ht="15" customHeight="1" x14ac:dyDescent="0.35">
      <c r="A29" s="11">
        <v>2025</v>
      </c>
      <c r="B29" s="12" t="s">
        <v>163</v>
      </c>
      <c r="C29" s="13" t="s">
        <v>28</v>
      </c>
      <c r="D29" s="25" t="s">
        <v>159</v>
      </c>
      <c r="E29" s="7" t="s">
        <v>8</v>
      </c>
      <c r="F29" s="8"/>
      <c r="G29" s="3">
        <v>0</v>
      </c>
      <c r="H29" s="4" t="str">
        <f t="shared" si="2"/>
        <v/>
      </c>
    </row>
  </sheetData>
  <autoFilter ref="B2:F2" xr:uid="{00000000-0001-0000-0600-000000000000}"/>
  <mergeCells count="2">
    <mergeCell ref="A1:A2"/>
    <mergeCell ref="C1:E1"/>
  </mergeCells>
  <phoneticPr fontId="7" type="noConversion"/>
  <conditionalFormatting sqref="G25 G23">
    <cfRule type="containsText" dxfId="12" priority="9" operator="containsText" text="*-">
      <formula>NOT(ISERROR(SEARCH(("*-"),(G23))))</formula>
    </cfRule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:G22">
    <cfRule type="containsText" dxfId="11" priority="7" operator="containsText" text="*-">
      <formula>NOT(ISERROR(SEARCH(("*-"),(G3))))</formula>
    </cfRule>
  </conditionalFormatting>
  <conditionalFormatting sqref="G3:G22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6 G24">
    <cfRule type="containsText" dxfId="10" priority="5" operator="containsText" text="*-">
      <formula>NOT(ISERROR(SEARCH(("*-"),(G24))))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8">
    <cfRule type="containsText" dxfId="9" priority="3" operator="containsText" text="*-">
      <formula>NOT(ISERROR(SEARCH(("*-"),(G28))))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9 G27">
    <cfRule type="containsText" dxfId="8" priority="1" operator="containsText" text="*-">
      <formula>NOT(ISERROR(SEARCH(("*-"),(G27))))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29"/>
  <sheetViews>
    <sheetView workbookViewId="0">
      <pane xSplit="8" ySplit="2" topLeftCell="I3" activePane="bottomRight" state="frozen"/>
      <selection pane="topRight" activeCell="H1" sqref="H1"/>
      <selection pane="bottomLeft" activeCell="A3" sqref="A3"/>
      <selection pane="bottomRight" activeCell="I31" sqref="I31"/>
    </sheetView>
  </sheetViews>
  <sheetFormatPr defaultRowHeight="15" customHeight="1" x14ac:dyDescent="0.35"/>
  <cols>
    <col min="1" max="1" width="5.6328125" style="5" customWidth="1"/>
    <col min="2" max="2" width="50.6328125" style="5" customWidth="1"/>
    <col min="3" max="5" width="33.6328125" style="5" customWidth="1"/>
    <col min="6" max="6" width="12.6328125" style="5" customWidth="1"/>
    <col min="7" max="7" width="3.6328125" style="5" customWidth="1"/>
    <col min="8" max="8" width="12.6328125" style="5" customWidth="1"/>
  </cols>
  <sheetData>
    <row r="1" spans="1:10" ht="15" customHeight="1" x14ac:dyDescent="0.35">
      <c r="A1" s="32" t="s">
        <v>0</v>
      </c>
      <c r="B1" s="31"/>
      <c r="C1" s="34" t="s">
        <v>1</v>
      </c>
      <c r="D1" s="36"/>
      <c r="E1" s="35"/>
      <c r="F1" s="9" t="s">
        <v>2</v>
      </c>
      <c r="G1" s="23" t="s">
        <v>12</v>
      </c>
      <c r="H1" s="2"/>
    </row>
    <row r="2" spans="1:10" ht="15" customHeight="1" x14ac:dyDescent="0.35">
      <c r="A2" s="33"/>
      <c r="B2" s="31" t="s">
        <v>195</v>
      </c>
      <c r="C2" s="8" t="s">
        <v>198</v>
      </c>
      <c r="D2" s="8" t="s">
        <v>197</v>
      </c>
      <c r="E2" s="8" t="s">
        <v>199</v>
      </c>
      <c r="F2" s="10" t="s">
        <v>27</v>
      </c>
      <c r="G2" s="8" t="s">
        <v>27</v>
      </c>
      <c r="H2" s="2"/>
    </row>
    <row r="3" spans="1:10" ht="15" customHeight="1" x14ac:dyDescent="0.35">
      <c r="A3" s="11">
        <v>1999</v>
      </c>
      <c r="B3" s="12" t="s">
        <v>162</v>
      </c>
      <c r="C3" s="13" t="s">
        <v>29</v>
      </c>
      <c r="D3" s="25" t="s">
        <v>159</v>
      </c>
      <c r="E3" s="7" t="s">
        <v>7</v>
      </c>
      <c r="F3" s="8" t="s">
        <v>148</v>
      </c>
      <c r="G3" s="1">
        <v>2</v>
      </c>
      <c r="H3" s="4" t="str">
        <f t="shared" ref="H3:H24" si="0">IF(OR(AND(G3&gt;1,G3&lt;&gt;"-")),"Can exchange","")</f>
        <v>Can exchange</v>
      </c>
      <c r="J3" s="6"/>
    </row>
    <row r="4" spans="1:10" ht="15" customHeight="1" x14ac:dyDescent="0.35">
      <c r="A4" s="11">
        <v>2000</v>
      </c>
      <c r="B4" s="12" t="s">
        <v>162</v>
      </c>
      <c r="C4" s="13" t="s">
        <v>29</v>
      </c>
      <c r="D4" s="25" t="s">
        <v>159</v>
      </c>
      <c r="E4" s="7" t="s">
        <v>7</v>
      </c>
      <c r="F4" s="8" t="s">
        <v>149</v>
      </c>
      <c r="G4" s="1">
        <v>0</v>
      </c>
      <c r="H4" s="4" t="str">
        <f t="shared" si="0"/>
        <v/>
      </c>
      <c r="I4" s="15"/>
      <c r="J4" s="6"/>
    </row>
    <row r="5" spans="1:10" ht="15" customHeight="1" x14ac:dyDescent="0.35">
      <c r="A5" s="11">
        <v>2001</v>
      </c>
      <c r="B5" s="12" t="s">
        <v>162</v>
      </c>
      <c r="C5" s="13" t="s">
        <v>29</v>
      </c>
      <c r="D5" s="25" t="s">
        <v>159</v>
      </c>
      <c r="E5" s="7" t="s">
        <v>7</v>
      </c>
      <c r="F5" s="8" t="s">
        <v>150</v>
      </c>
      <c r="G5" s="1">
        <v>0</v>
      </c>
      <c r="H5" s="4" t="str">
        <f t="shared" si="0"/>
        <v/>
      </c>
    </row>
    <row r="6" spans="1:10" ht="15" customHeight="1" x14ac:dyDescent="0.35">
      <c r="A6" s="11">
        <v>2002</v>
      </c>
      <c r="B6" s="12" t="s">
        <v>162</v>
      </c>
      <c r="C6" s="13" t="s">
        <v>29</v>
      </c>
      <c r="D6" s="25" t="s">
        <v>159</v>
      </c>
      <c r="E6" s="7" t="s">
        <v>7</v>
      </c>
      <c r="F6" s="8" t="s">
        <v>151</v>
      </c>
      <c r="G6" s="1">
        <v>0</v>
      </c>
      <c r="H6" s="4" t="str">
        <f t="shared" si="0"/>
        <v/>
      </c>
    </row>
    <row r="7" spans="1:10" ht="15" customHeight="1" x14ac:dyDescent="0.35">
      <c r="A7" s="11">
        <v>2003</v>
      </c>
      <c r="B7" s="12" t="s">
        <v>162</v>
      </c>
      <c r="C7" s="13" t="s">
        <v>29</v>
      </c>
      <c r="D7" s="25" t="s">
        <v>159</v>
      </c>
      <c r="E7" s="7" t="s">
        <v>7</v>
      </c>
      <c r="F7" s="8" t="s">
        <v>152</v>
      </c>
      <c r="G7" s="1">
        <v>0</v>
      </c>
      <c r="H7" s="4" t="str">
        <f t="shared" si="0"/>
        <v/>
      </c>
    </row>
    <row r="8" spans="1:10" ht="15" customHeight="1" x14ac:dyDescent="0.35">
      <c r="A8" s="11">
        <v>2004</v>
      </c>
      <c r="B8" s="12" t="s">
        <v>162</v>
      </c>
      <c r="C8" s="13" t="s">
        <v>29</v>
      </c>
      <c r="D8" s="25" t="s">
        <v>159</v>
      </c>
      <c r="E8" s="7" t="s">
        <v>7</v>
      </c>
      <c r="F8" s="8" t="s">
        <v>111</v>
      </c>
      <c r="G8" s="1">
        <v>0</v>
      </c>
      <c r="H8" s="4" t="str">
        <f t="shared" si="0"/>
        <v/>
      </c>
    </row>
    <row r="9" spans="1:10" ht="15" customHeight="1" x14ac:dyDescent="0.35">
      <c r="A9" s="11">
        <v>2005</v>
      </c>
      <c r="B9" s="12" t="s">
        <v>162</v>
      </c>
      <c r="C9" s="13" t="s">
        <v>29</v>
      </c>
      <c r="D9" s="25" t="s">
        <v>159</v>
      </c>
      <c r="E9" s="7" t="s">
        <v>7</v>
      </c>
      <c r="F9" s="8" t="s">
        <v>104</v>
      </c>
      <c r="G9" s="1">
        <v>0</v>
      </c>
      <c r="H9" s="4" t="str">
        <f t="shared" si="0"/>
        <v/>
      </c>
    </row>
    <row r="10" spans="1:10" ht="15" customHeight="1" x14ac:dyDescent="0.35">
      <c r="A10" s="11">
        <v>2006</v>
      </c>
      <c r="B10" s="12" t="s">
        <v>162</v>
      </c>
      <c r="C10" s="13" t="s">
        <v>29</v>
      </c>
      <c r="D10" s="25" t="s">
        <v>159</v>
      </c>
      <c r="E10" s="7" t="s">
        <v>7</v>
      </c>
      <c r="F10" s="8" t="s">
        <v>104</v>
      </c>
      <c r="G10" s="1">
        <v>0</v>
      </c>
      <c r="H10" s="4" t="str">
        <f t="shared" si="0"/>
        <v/>
      </c>
    </row>
    <row r="11" spans="1:10" ht="15" customHeight="1" x14ac:dyDescent="0.35">
      <c r="A11" s="11">
        <v>2007</v>
      </c>
      <c r="B11" s="12" t="s">
        <v>162</v>
      </c>
      <c r="C11" s="13" t="s">
        <v>29</v>
      </c>
      <c r="D11" s="25" t="s">
        <v>159</v>
      </c>
      <c r="E11" s="7" t="s">
        <v>8</v>
      </c>
      <c r="F11" s="8" t="s">
        <v>104</v>
      </c>
      <c r="G11" s="1">
        <v>0</v>
      </c>
      <c r="H11" s="4" t="str">
        <f t="shared" si="0"/>
        <v/>
      </c>
    </row>
    <row r="12" spans="1:10" ht="15" customHeight="1" x14ac:dyDescent="0.35">
      <c r="A12" s="11">
        <v>2008</v>
      </c>
      <c r="B12" s="12" t="s">
        <v>162</v>
      </c>
      <c r="C12" s="13" t="s">
        <v>29</v>
      </c>
      <c r="D12" s="25" t="s">
        <v>159</v>
      </c>
      <c r="E12" s="7" t="s">
        <v>8</v>
      </c>
      <c r="F12" s="8" t="s">
        <v>153</v>
      </c>
      <c r="G12" s="1">
        <v>0</v>
      </c>
      <c r="H12" s="4" t="str">
        <f t="shared" si="0"/>
        <v/>
      </c>
    </row>
    <row r="13" spans="1:10" ht="15" customHeight="1" x14ac:dyDescent="0.35">
      <c r="A13" s="11">
        <v>2009</v>
      </c>
      <c r="B13" s="12" t="s">
        <v>162</v>
      </c>
      <c r="C13" s="13" t="s">
        <v>29</v>
      </c>
      <c r="D13" s="25" t="s">
        <v>159</v>
      </c>
      <c r="E13" s="7" t="s">
        <v>8</v>
      </c>
      <c r="F13" s="8" t="s">
        <v>154</v>
      </c>
      <c r="G13" s="1">
        <v>0</v>
      </c>
      <c r="H13" s="4" t="str">
        <f t="shared" si="0"/>
        <v/>
      </c>
    </row>
    <row r="14" spans="1:10" ht="15" customHeight="1" x14ac:dyDescent="0.35">
      <c r="A14" s="11">
        <v>2010</v>
      </c>
      <c r="B14" s="12" t="s">
        <v>162</v>
      </c>
      <c r="C14" s="13" t="s">
        <v>28</v>
      </c>
      <c r="D14" s="25" t="s">
        <v>159</v>
      </c>
      <c r="E14" s="7" t="s">
        <v>8</v>
      </c>
      <c r="F14" s="8" t="s">
        <v>104</v>
      </c>
      <c r="G14" s="1">
        <v>0</v>
      </c>
      <c r="H14" s="4" t="str">
        <f t="shared" si="0"/>
        <v/>
      </c>
    </row>
    <row r="15" spans="1:10" ht="15" customHeight="1" x14ac:dyDescent="0.35">
      <c r="A15" s="11">
        <v>2011</v>
      </c>
      <c r="B15" s="12" t="s">
        <v>162</v>
      </c>
      <c r="C15" s="13" t="s">
        <v>28</v>
      </c>
      <c r="D15" s="25" t="s">
        <v>159</v>
      </c>
      <c r="E15" s="7" t="s">
        <v>8</v>
      </c>
      <c r="F15" s="8" t="s">
        <v>104</v>
      </c>
      <c r="G15" s="1">
        <v>0</v>
      </c>
      <c r="H15" s="4" t="str">
        <f t="shared" si="0"/>
        <v/>
      </c>
    </row>
    <row r="16" spans="1:10" ht="15" customHeight="1" x14ac:dyDescent="0.35">
      <c r="A16" s="11">
        <v>2012</v>
      </c>
      <c r="B16" s="12" t="s">
        <v>162</v>
      </c>
      <c r="C16" s="13" t="s">
        <v>28</v>
      </c>
      <c r="D16" s="25" t="s">
        <v>159</v>
      </c>
      <c r="E16" s="7" t="s">
        <v>8</v>
      </c>
      <c r="F16" s="8" t="s">
        <v>104</v>
      </c>
      <c r="G16" s="1">
        <v>0</v>
      </c>
      <c r="H16" s="4" t="str">
        <f t="shared" si="0"/>
        <v/>
      </c>
    </row>
    <row r="17" spans="1:19" ht="15" customHeight="1" x14ac:dyDescent="0.35">
      <c r="A17" s="11">
        <v>2013</v>
      </c>
      <c r="B17" s="12" t="s">
        <v>162</v>
      </c>
      <c r="C17" s="13" t="s">
        <v>28</v>
      </c>
      <c r="D17" s="25" t="s">
        <v>159</v>
      </c>
      <c r="E17" s="7" t="s">
        <v>8</v>
      </c>
      <c r="F17" s="8" t="s">
        <v>104</v>
      </c>
      <c r="G17" s="1">
        <v>0</v>
      </c>
      <c r="H17" s="4" t="str">
        <f t="shared" si="0"/>
        <v/>
      </c>
    </row>
    <row r="18" spans="1:19" ht="15" customHeight="1" x14ac:dyDescent="0.35">
      <c r="A18" s="11">
        <v>2014</v>
      </c>
      <c r="B18" s="12" t="s">
        <v>162</v>
      </c>
      <c r="C18" s="13" t="s">
        <v>28</v>
      </c>
      <c r="D18" s="25" t="s">
        <v>159</v>
      </c>
      <c r="E18" s="7" t="s">
        <v>8</v>
      </c>
      <c r="F18" s="8" t="s">
        <v>155</v>
      </c>
      <c r="G18" s="1">
        <v>0</v>
      </c>
      <c r="H18" s="4" t="str">
        <f t="shared" si="0"/>
        <v/>
      </c>
    </row>
    <row r="19" spans="1:19" ht="15" customHeight="1" x14ac:dyDescent="0.35">
      <c r="A19" s="11">
        <v>2015</v>
      </c>
      <c r="B19" s="12" t="s">
        <v>163</v>
      </c>
      <c r="C19" s="13" t="s">
        <v>28</v>
      </c>
      <c r="D19" s="25" t="s">
        <v>159</v>
      </c>
      <c r="E19" s="7" t="s">
        <v>8</v>
      </c>
      <c r="F19" s="8" t="s">
        <v>112</v>
      </c>
      <c r="G19" s="1">
        <v>0</v>
      </c>
      <c r="H19" s="4" t="str">
        <f t="shared" si="0"/>
        <v/>
      </c>
    </row>
    <row r="20" spans="1:19" ht="15" customHeight="1" x14ac:dyDescent="0.35">
      <c r="A20" s="11">
        <v>2016</v>
      </c>
      <c r="B20" s="12" t="s">
        <v>163</v>
      </c>
      <c r="C20" s="13" t="s">
        <v>28</v>
      </c>
      <c r="D20" s="25" t="s">
        <v>159</v>
      </c>
      <c r="E20" s="7" t="s">
        <v>8</v>
      </c>
      <c r="F20" s="8" t="s">
        <v>156</v>
      </c>
      <c r="G20" s="1">
        <v>0</v>
      </c>
      <c r="H20" s="4" t="str">
        <f t="shared" si="0"/>
        <v/>
      </c>
    </row>
    <row r="21" spans="1:19" ht="15" customHeight="1" x14ac:dyDescent="0.35">
      <c r="A21" s="11">
        <v>2017</v>
      </c>
      <c r="B21" s="12" t="s">
        <v>163</v>
      </c>
      <c r="C21" s="13" t="s">
        <v>28</v>
      </c>
      <c r="D21" s="25" t="s">
        <v>159</v>
      </c>
      <c r="E21" s="7" t="s">
        <v>8</v>
      </c>
      <c r="F21" s="8" t="s">
        <v>157</v>
      </c>
      <c r="G21" s="1">
        <v>0</v>
      </c>
      <c r="H21" s="4" t="str">
        <f t="shared" si="0"/>
        <v/>
      </c>
    </row>
    <row r="22" spans="1:19" ht="15" customHeight="1" x14ac:dyDescent="0.35">
      <c r="A22" s="11">
        <v>2018</v>
      </c>
      <c r="B22" s="12" t="s">
        <v>163</v>
      </c>
      <c r="C22" s="13" t="s">
        <v>28</v>
      </c>
      <c r="D22" s="25" t="s">
        <v>159</v>
      </c>
      <c r="E22" s="7" t="s">
        <v>8</v>
      </c>
      <c r="F22" s="8" t="s">
        <v>158</v>
      </c>
      <c r="G22" s="1">
        <v>0</v>
      </c>
      <c r="H22" s="4" t="str">
        <f t="shared" si="0"/>
        <v/>
      </c>
    </row>
    <row r="23" spans="1:19" ht="15" customHeight="1" x14ac:dyDescent="0.35">
      <c r="A23" s="11">
        <v>2019</v>
      </c>
      <c r="B23" s="12" t="s">
        <v>163</v>
      </c>
      <c r="C23" s="13" t="s">
        <v>28</v>
      </c>
      <c r="D23" s="25" t="s">
        <v>159</v>
      </c>
      <c r="E23" s="7" t="s">
        <v>8</v>
      </c>
      <c r="F23" s="8" t="s">
        <v>157</v>
      </c>
      <c r="G23" s="3">
        <v>0</v>
      </c>
      <c r="H23" s="4" t="str">
        <f t="shared" si="0"/>
        <v/>
      </c>
    </row>
    <row r="24" spans="1:19" ht="15" customHeight="1" x14ac:dyDescent="0.35">
      <c r="A24" s="11">
        <v>2020</v>
      </c>
      <c r="B24" s="12" t="s">
        <v>163</v>
      </c>
      <c r="C24" s="13" t="s">
        <v>28</v>
      </c>
      <c r="D24" s="25" t="s">
        <v>159</v>
      </c>
      <c r="E24" s="7" t="s">
        <v>8</v>
      </c>
      <c r="F24" s="8" t="s">
        <v>104</v>
      </c>
      <c r="G24" s="3">
        <v>0</v>
      </c>
      <c r="H24" s="4" t="str">
        <f t="shared" si="0"/>
        <v/>
      </c>
    </row>
    <row r="25" spans="1:19" ht="15" customHeight="1" x14ac:dyDescent="0.35">
      <c r="A25" s="11">
        <v>2021</v>
      </c>
      <c r="B25" s="12" t="s">
        <v>163</v>
      </c>
      <c r="C25" s="13" t="s">
        <v>28</v>
      </c>
      <c r="D25" s="25" t="s">
        <v>159</v>
      </c>
      <c r="E25" s="7" t="s">
        <v>8</v>
      </c>
      <c r="F25" s="8" t="s">
        <v>127</v>
      </c>
      <c r="G25" s="3">
        <v>0</v>
      </c>
      <c r="H25" s="4" t="str">
        <f t="shared" ref="H25:H26" si="1">IF(OR(AND(G25&gt;1,G25&lt;&gt;"-")),"Can exchange","")</f>
        <v/>
      </c>
    </row>
    <row r="26" spans="1:19" ht="15" customHeight="1" x14ac:dyDescent="0.35">
      <c r="A26" s="11">
        <v>2022</v>
      </c>
      <c r="B26" s="12" t="s">
        <v>163</v>
      </c>
      <c r="C26" s="13" t="s">
        <v>28</v>
      </c>
      <c r="D26" s="25" t="s">
        <v>159</v>
      </c>
      <c r="E26" s="7" t="s">
        <v>8</v>
      </c>
      <c r="F26" s="8" t="s">
        <v>194</v>
      </c>
      <c r="G26" s="3">
        <v>0</v>
      </c>
      <c r="H26" s="4" t="str">
        <f t="shared" si="1"/>
        <v/>
      </c>
    </row>
    <row r="27" spans="1:19" ht="15" customHeight="1" x14ac:dyDescent="0.35">
      <c r="A27" s="11">
        <v>2023</v>
      </c>
      <c r="B27" s="12" t="s">
        <v>163</v>
      </c>
      <c r="C27" s="13" t="s">
        <v>28</v>
      </c>
      <c r="D27" s="25" t="s">
        <v>159</v>
      </c>
      <c r="E27" s="7" t="s">
        <v>8</v>
      </c>
      <c r="F27" s="8" t="s">
        <v>214</v>
      </c>
      <c r="G27" s="3">
        <v>1</v>
      </c>
      <c r="H27" s="4" t="str">
        <f t="shared" ref="H27:H28" si="2">IF(OR(AND(G27&gt;1,G27&lt;&gt;"-")),"Can exchange","")</f>
        <v/>
      </c>
      <c r="R27" s="26"/>
      <c r="S27" s="26"/>
    </row>
    <row r="28" spans="1:19" ht="15" customHeight="1" x14ac:dyDescent="0.35">
      <c r="A28" s="11">
        <v>2024</v>
      </c>
      <c r="B28" s="12" t="s">
        <v>163</v>
      </c>
      <c r="C28" s="13" t="s">
        <v>28</v>
      </c>
      <c r="D28" s="25" t="s">
        <v>159</v>
      </c>
      <c r="E28" s="7" t="s">
        <v>8</v>
      </c>
      <c r="F28" s="8" t="s">
        <v>215</v>
      </c>
      <c r="G28" s="3">
        <v>0</v>
      </c>
      <c r="H28" s="4" t="str">
        <f t="shared" si="2"/>
        <v/>
      </c>
    </row>
    <row r="29" spans="1:19" ht="15" customHeight="1" x14ac:dyDescent="0.35">
      <c r="A29" s="11">
        <v>2025</v>
      </c>
      <c r="B29" s="12" t="s">
        <v>163</v>
      </c>
      <c r="C29" s="13" t="s">
        <v>28</v>
      </c>
      <c r="D29" s="25" t="s">
        <v>159</v>
      </c>
      <c r="E29" s="7" t="s">
        <v>8</v>
      </c>
      <c r="F29" s="8"/>
      <c r="G29" s="3">
        <v>0</v>
      </c>
      <c r="H29" s="4" t="str">
        <f t="shared" ref="H29" si="3">IF(OR(AND(G29&gt;1,G29&lt;&gt;"-")),"Can exchange","")</f>
        <v/>
      </c>
    </row>
  </sheetData>
  <autoFilter ref="B2:F2" xr:uid="{00000000-0001-0000-0700-000000000000}"/>
  <mergeCells count="2">
    <mergeCell ref="A1:A2"/>
    <mergeCell ref="C1:E1"/>
  </mergeCells>
  <phoneticPr fontId="7" type="noConversion"/>
  <conditionalFormatting sqref="G25 G23 G27">
    <cfRule type="containsText" dxfId="7" priority="9" operator="containsText" text="*-">
      <formula>NOT(ISERROR(SEARCH(("*-"),(G23))))</formula>
    </cfRule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:G22">
    <cfRule type="containsText" dxfId="6" priority="7" operator="containsText" text="*-">
      <formula>NOT(ISERROR(SEARCH(("*-"),(G3))))</formula>
    </cfRule>
  </conditionalFormatting>
  <conditionalFormatting sqref="G3:G22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6 G24">
    <cfRule type="containsText" dxfId="5" priority="5" operator="containsText" text="*-">
      <formula>NOT(ISERROR(SEARCH(("*-"),(G24))))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9">
    <cfRule type="containsText" dxfId="4" priority="3" operator="containsText" text="*-">
      <formula>NOT(ISERROR(SEARCH(("*-"),(G29))))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8">
    <cfRule type="containsText" dxfId="3" priority="1" operator="containsText" text="*-">
      <formula>NOT(ISERROR(SEARCH(("*-"),(G28))))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7" sqref="B7"/>
    </sheetView>
  </sheetViews>
  <sheetFormatPr defaultRowHeight="15" customHeight="1" x14ac:dyDescent="0.35"/>
  <cols>
    <col min="1" max="1" width="4.81640625" customWidth="1"/>
    <col min="2" max="2" width="16.26953125" customWidth="1"/>
    <col min="3" max="3" width="61.81640625" customWidth="1"/>
  </cols>
  <sheetData>
    <row r="1" spans="1:3" ht="15" customHeight="1" x14ac:dyDescent="0.35">
      <c r="A1" s="16" t="s">
        <v>13</v>
      </c>
      <c r="B1" s="17" t="s">
        <v>14</v>
      </c>
      <c r="C1" s="18" t="s">
        <v>15</v>
      </c>
    </row>
    <row r="2" spans="1:3" ht="15" customHeight="1" x14ac:dyDescent="0.35">
      <c r="A2" s="19">
        <v>1</v>
      </c>
      <c r="B2" s="20" t="s">
        <v>16</v>
      </c>
      <c r="C2" s="21" t="s">
        <v>17</v>
      </c>
    </row>
    <row r="3" spans="1:3" ht="15" customHeight="1" x14ac:dyDescent="0.35">
      <c r="A3" s="19">
        <v>2</v>
      </c>
      <c r="B3" s="20" t="s">
        <v>19</v>
      </c>
      <c r="C3" s="21" t="s">
        <v>18</v>
      </c>
    </row>
    <row r="4" spans="1:3" ht="15" customHeight="1" x14ac:dyDescent="0.35">
      <c r="A4" s="19">
        <v>3</v>
      </c>
      <c r="B4" s="20" t="s">
        <v>20</v>
      </c>
      <c r="C4" s="21" t="s">
        <v>21</v>
      </c>
    </row>
    <row r="5" spans="1:3" ht="15" customHeight="1" x14ac:dyDescent="0.35">
      <c r="A5" s="19">
        <v>4</v>
      </c>
      <c r="B5" s="20" t="s">
        <v>22</v>
      </c>
      <c r="C5" s="21" t="s">
        <v>23</v>
      </c>
    </row>
    <row r="6" spans="1:3" ht="15" customHeight="1" x14ac:dyDescent="0.35">
      <c r="A6" s="19">
        <v>5</v>
      </c>
      <c r="B6" s="20" t="s">
        <v>24</v>
      </c>
      <c r="C6" s="22" t="s">
        <v>25</v>
      </c>
    </row>
    <row r="7" spans="1:3" ht="15" customHeight="1" x14ac:dyDescent="0.35">
      <c r="A7" s="19">
        <v>6</v>
      </c>
      <c r="B7" s="20" t="s">
        <v>24</v>
      </c>
      <c r="C7" s="22" t="s">
        <v>26</v>
      </c>
    </row>
  </sheetData>
  <hyperlinks>
    <hyperlink ref="B2" r:id="rId1" xr:uid="{00000000-0004-0000-0800-000000000000}"/>
    <hyperlink ref="B3" r:id="rId2" xr:uid="{00000000-0004-0000-0800-000001000000}"/>
    <hyperlink ref="B4" r:id="rId3" xr:uid="{00000000-0004-0000-0800-000002000000}"/>
    <hyperlink ref="B5" r:id="rId4" xr:uid="{00000000-0004-0000-0800-000003000000}"/>
    <hyperlink ref="B7" r:id="rId5" xr:uid="{00000000-0004-0000-0800-000004000000}"/>
    <hyperlink ref="B6" r:id="rId6" xr:uid="{00000000-0004-0000-0800-000005000000}"/>
  </hyperlinks>
  <pageMargins left="0.7" right="0.7" top="0.75" bottom="0.75" header="0.3" footer="0.3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1cent</vt:lpstr>
      <vt:lpstr>2cents</vt:lpstr>
      <vt:lpstr>5cents</vt:lpstr>
      <vt:lpstr>10cents</vt:lpstr>
      <vt:lpstr>20cents</vt:lpstr>
      <vt:lpstr>50cents</vt:lpstr>
      <vt:lpstr>1€</vt:lpstr>
      <vt:lpstr>2€</vt:lpstr>
      <vt:lpstr>Links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Алексей Илюшин</cp:lastModifiedBy>
  <dcterms:created xsi:type="dcterms:W3CDTF">2019-12-22T17:08:36Z</dcterms:created>
  <dcterms:modified xsi:type="dcterms:W3CDTF">2026-03-26T10:29:17Z</dcterms:modified>
</cp:coreProperties>
</file>