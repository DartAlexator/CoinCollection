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Spain\"/>
    </mc:Choice>
  </mc:AlternateContent>
  <xr:revisionPtr revIDLastSave="0" documentId="13_ncr:1_{2D62D3CE-5026-4472-8EFE-CF58104F344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4" i="1" l="1"/>
  <c r="I33" i="1"/>
  <c r="I32" i="1"/>
  <c r="I31" i="1"/>
  <c r="I30" i="1"/>
  <c r="I29" i="1"/>
  <c r="I28" i="1"/>
  <c r="I27" i="1"/>
  <c r="I26" i="1"/>
  <c r="I25" i="1"/>
  <c r="I24" i="1"/>
  <c r="I23" i="1" l="1"/>
  <c r="I8" i="1" l="1"/>
  <c r="I4" i="1" l="1"/>
  <c r="I6" i="1"/>
  <c r="I20" i="1" l="1"/>
  <c r="I22" i="1"/>
  <c r="I21" i="1" l="1"/>
  <c r="I19" i="1"/>
  <c r="I18" i="1"/>
  <c r="I17" i="1"/>
  <c r="I16" i="1"/>
  <c r="I15" i="1"/>
  <c r="I14" i="1"/>
  <c r="I13" i="1"/>
  <c r="I11" i="1"/>
  <c r="I12" i="1"/>
  <c r="I10" i="1"/>
  <c r="I9" i="1"/>
  <c r="I7" i="1"/>
  <c r="I5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G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  <comment ref="H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Fábrica Nacional de Moneda y Timbre - Real Casa de la Moneda
(Royal Mint of Spain, Madrid)
</t>
        </r>
      </text>
    </comment>
    <comment ref="H5" authorId="1" shapeId="0" xr:uid="{B8248764-F3A2-487F-A7B3-39E1FE4C2FA5}">
      <text>
        <r>
          <rPr>
            <sz val="9"/>
            <color indexed="81"/>
            <rFont val="Tahoma"/>
            <family val="2"/>
            <charset val="204"/>
          </rPr>
          <t xml:space="preserve">1 Дубль UNC
1 Дубль не UNC
</t>
        </r>
      </text>
    </comment>
    <comment ref="H7" authorId="1" shapeId="0" xr:uid="{53271EEB-052A-4CE3-8B55-193AF8AB13A0}">
      <text>
        <r>
          <rPr>
            <sz val="9"/>
            <color indexed="81"/>
            <rFont val="Tahoma"/>
            <family val="2"/>
            <charset val="204"/>
          </rPr>
          <t xml:space="preserve">Дубли не UNC
</t>
        </r>
      </text>
    </comment>
    <comment ref="H9" authorId="1" shapeId="0" xr:uid="{E02419AA-DA3C-4E47-9149-1C098BD204CF}">
      <text>
        <r>
          <rPr>
            <sz val="9"/>
            <color indexed="81"/>
            <rFont val="Tahoma"/>
            <family val="2"/>
            <charset val="204"/>
          </rPr>
          <t xml:space="preserve">Дубли не UNC
</t>
        </r>
      </text>
    </comment>
    <comment ref="H10" authorId="1" shapeId="0" xr:uid="{8398702E-5028-415D-8137-E4478376B03F}">
      <text>
        <r>
          <rPr>
            <sz val="9"/>
            <color indexed="81"/>
            <rFont val="Tahoma"/>
            <family val="2"/>
            <charset val="204"/>
          </rPr>
          <t xml:space="preserve">Дубли не UNC
</t>
        </r>
      </text>
    </comment>
    <comment ref="H11" authorId="1" shapeId="0" xr:uid="{802313F4-AA17-47C4-8699-BD8384D1CFA0}">
      <text>
        <r>
          <rPr>
            <sz val="9"/>
            <color indexed="81"/>
            <rFont val="Tahoma"/>
            <family val="2"/>
            <charset val="204"/>
          </rPr>
          <t xml:space="preserve">Дубли не UNC
</t>
        </r>
      </text>
    </comment>
  </commentList>
</comments>
</file>

<file path=xl/sharedStrings.xml><?xml version="1.0" encoding="utf-8"?>
<sst xmlns="http://schemas.openxmlformats.org/spreadsheetml/2006/main" count="185" uniqueCount="77">
  <si>
    <t>Year</t>
  </si>
  <si>
    <t>Type</t>
  </si>
  <si>
    <t>Mintage</t>
  </si>
  <si>
    <t>2€</t>
  </si>
  <si>
    <t>-</t>
  </si>
  <si>
    <t>50th Anniversary - Signing of the Treaty of Rome</t>
  </si>
  <si>
    <t>Ten years of Economic and Monetary Union (EMU) and the birth of the euro</t>
  </si>
  <si>
    <t>10 Years of Euro Cash</t>
  </si>
  <si>
    <t>30th Anniversary - European Union flag</t>
  </si>
  <si>
    <t>№</t>
  </si>
  <si>
    <t>euro-coins</t>
  </si>
  <si>
    <t>wiki</t>
  </si>
  <si>
    <t>skopil</t>
  </si>
  <si>
    <t>Link</t>
  </si>
  <si>
    <t>Description (single table, table set, mintage, prices):</t>
  </si>
  <si>
    <t>Low convenience single table with mintages</t>
  </si>
  <si>
    <t>en.ucoin</t>
  </si>
  <si>
    <t>Low convenience set of tables with mintages</t>
  </si>
  <si>
    <t>Low convenience set of tables with photos</t>
  </si>
  <si>
    <t>Low convenience single table with varieties and mintages and photos</t>
  </si>
  <si>
    <t>Rev: old map of Europe</t>
  </si>
  <si>
    <t>Rev: new map of Europe</t>
  </si>
  <si>
    <t>eurocollection</t>
  </si>
  <si>
    <t>High convenience single table of varieties with photos</t>
  </si>
  <si>
    <t>High convenience set of tables table of actual coins with photos</t>
  </si>
  <si>
    <t>ES</t>
  </si>
  <si>
    <t>8.000.000</t>
  </si>
  <si>
    <t>4.000.000</t>
  </si>
  <si>
    <t>8.100.000</t>
  </si>
  <si>
    <t>4.200.000</t>
  </si>
  <si>
    <t>4.300.000</t>
  </si>
  <si>
    <t>3.400.000</t>
  </si>
  <si>
    <t>500.000</t>
  </si>
  <si>
    <t>300.000</t>
  </si>
  <si>
    <t>400.000</t>
  </si>
  <si>
    <t>400th Anniversary - First Edition of Don Quixote</t>
  </si>
  <si>
    <t>King Felipe VI's accession to the throne</t>
  </si>
  <si>
    <t>50th Anniversary - Birth of Felipe VI of Spain</t>
  </si>
  <si>
    <t>Old Town of Santiago de Compostela</t>
  </si>
  <si>
    <t>Spanish UNESCO</t>
  </si>
  <si>
    <t>Burgos Cathedral</t>
  </si>
  <si>
    <t>Escorial Monastery</t>
  </si>
  <si>
    <t>Gaudi's Güell Park</t>
  </si>
  <si>
    <t>Aqueduct of Segovia</t>
  </si>
  <si>
    <t>Church of St Mary at Mount Naranco in Oviedo</t>
  </si>
  <si>
    <t>Old Town of Avila</t>
  </si>
  <si>
    <t>Historic Centre of Córdoba</t>
  </si>
  <si>
    <t>Patio de los Leones in the Alhambra in Granada</t>
  </si>
  <si>
    <t xml:space="preserve"> Cave of Altamira</t>
  </si>
  <si>
    <t>N/A</t>
  </si>
  <si>
    <t>Obv: Large stars</t>
  </si>
  <si>
    <t>Obv: With mint logo - "M"</t>
  </si>
  <si>
    <t>Mudéjar Architecture of Aragon</t>
  </si>
  <si>
    <t>Historic city of Toledo</t>
  </si>
  <si>
    <t>Garajonay National Park</t>
  </si>
  <si>
    <t>1.000.000</t>
  </si>
  <si>
    <t>500th Anniversary - First Circumnavigation. Juan Sebastián Elcano</t>
  </si>
  <si>
    <t>35th Anniversary - Erasmus Programme</t>
  </si>
  <si>
    <t>Old Town of Cáceres</t>
  </si>
  <si>
    <t>Spanish Presidency of the Council of the EU</t>
  </si>
  <si>
    <t>1.500.000</t>
  </si>
  <si>
    <t>Subject</t>
  </si>
  <si>
    <t>200th Anniversary - National Police Corps</t>
  </si>
  <si>
    <t>Sevilla</t>
  </si>
  <si>
    <t>Subtype_1#Series</t>
  </si>
  <si>
    <t>Subtype_3#Map_of_Europe</t>
  </si>
  <si>
    <t>Treaty of Rome</t>
  </si>
  <si>
    <t>10 Years of EMU</t>
  </si>
  <si>
    <t>10th Anniversary - Euro Coins and Banknotes</t>
  </si>
  <si>
    <t>European Union flag</t>
  </si>
  <si>
    <t>Erasmus Programme</t>
  </si>
  <si>
    <t>Old Town of Salamanca</t>
  </si>
  <si>
    <t>2.000.000</t>
  </si>
  <si>
    <t>Subtype_4#Special_distinctions_1</t>
  </si>
  <si>
    <t>Subtype_2#Special_marks_1</t>
  </si>
  <si>
    <t>Poblet Monastery</t>
  </si>
  <si>
    <t>Reform of Article 49 of the Spanish Constitution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</si>
</sst>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8"/>
      <name val="Calibri"/>
      <family val="2"/>
      <charset val="204"/>
    </font>
    <font>
      <sz val="9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/>
    </xf>
    <xf numFmtId="0" fontId="5" fillId="0" borderId="0" xfId="1"/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 shrinkToFit="1"/>
    </xf>
    <xf numFmtId="3" fontId="2" fillId="6" borderId="1" xfId="0" applyNumberFormat="1" applyFont="1" applyFill="1" applyBorder="1" applyAlignment="1">
      <alignment horizontal="center" vertical="center" shrinkToFit="1"/>
    </xf>
    <xf numFmtId="3" fontId="2" fillId="4" borderId="1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0" fillId="0" borderId="0" xfId="0" applyFont="1" applyAlignment="1"/>
    <xf numFmtId="0" fontId="0" fillId="0" borderId="0" xfId="0" applyAlignment="1">
      <alignment horizontal="center" vertical="center"/>
    </xf>
    <xf numFmtId="0" fontId="7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0" fillId="0" borderId="0" xfId="0" applyAlignment="1">
      <alignment wrapText="1"/>
    </xf>
    <xf numFmtId="49" fontId="4" fillId="3" borderId="1" xfId="0" applyNumberFormat="1" applyFont="1" applyFill="1" applyBorder="1" applyAlignment="1">
      <alignment horizontal="center" vertical="center" shrinkToFit="1"/>
    </xf>
    <xf numFmtId="3" fontId="2" fillId="6" borderId="8" xfId="0" applyNumberFormat="1" applyFont="1" applyFill="1" applyBorder="1" applyAlignment="1">
      <alignment horizontal="center" vertical="center" shrinkToFit="1"/>
    </xf>
    <xf numFmtId="0" fontId="4" fillId="0" borderId="6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17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4"/>
    <tableColumn id="2" xr3:uid="{00000000-0010-0000-0000-000002000000}" name="Link" dataDxfId="3" dataCellStyle="Гиперссылка"/>
    <tableColumn id="3" xr3:uid="{00000000-0010-0000-0000-000003000000}" name="Description (single table, table set, mintage, prices):" dataDxfId="2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n.ucoin.net/catalog/?country=spain&amp;type=2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www.euro-coins.info/info/mintage/spa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zoomScaleNormal="100" workbookViewId="0">
      <pane xSplit="9" ySplit="2" topLeftCell="J3" activePane="bottomRight" state="frozen"/>
      <selection pane="topRight" activeCell="F1" sqref="F1"/>
      <selection pane="bottomLeft" activeCell="A3" sqref="A3"/>
      <selection pane="bottomRight" activeCell="E39" sqref="E39"/>
    </sheetView>
  </sheetViews>
  <sheetFormatPr defaultColWidth="9.1796875" defaultRowHeight="15" customHeight="1" x14ac:dyDescent="0.35"/>
  <cols>
    <col min="1" max="1" width="5.6328125" style="13" customWidth="1"/>
    <col min="2" max="2" width="50.6328125" style="13" customWidth="1"/>
    <col min="3" max="6" width="33.6328125" style="13" customWidth="1"/>
    <col min="7" max="7" width="12.6328125" style="13" customWidth="1"/>
    <col min="8" max="8" width="3.6328125" style="13" customWidth="1"/>
    <col min="9" max="9" width="12.6328125" style="13" customWidth="1"/>
    <col min="10" max="16384" width="9.1796875" style="1"/>
  </cols>
  <sheetData>
    <row r="1" spans="1:9" ht="15" customHeight="1" x14ac:dyDescent="0.35">
      <c r="A1" s="25" t="s">
        <v>0</v>
      </c>
      <c r="B1" s="24"/>
      <c r="C1" s="27" t="s">
        <v>1</v>
      </c>
      <c r="D1" s="28"/>
      <c r="E1" s="29"/>
      <c r="F1" s="30"/>
      <c r="G1" s="2" t="s">
        <v>2</v>
      </c>
      <c r="H1" s="21" t="s">
        <v>3</v>
      </c>
      <c r="I1" s="3"/>
    </row>
    <row r="2" spans="1:9" ht="15" customHeight="1" x14ac:dyDescent="0.35">
      <c r="A2" s="26"/>
      <c r="B2" s="24" t="s">
        <v>61</v>
      </c>
      <c r="C2" s="4" t="s">
        <v>64</v>
      </c>
      <c r="D2" s="4" t="s">
        <v>74</v>
      </c>
      <c r="E2" s="4" t="s">
        <v>65</v>
      </c>
      <c r="F2" s="4" t="s">
        <v>73</v>
      </c>
      <c r="G2" s="5" t="s">
        <v>25</v>
      </c>
      <c r="H2" s="4" t="s">
        <v>25</v>
      </c>
      <c r="I2" s="3"/>
    </row>
    <row r="3" spans="1:9" ht="15" customHeight="1" x14ac:dyDescent="0.35">
      <c r="A3" s="6">
        <v>2005</v>
      </c>
      <c r="B3" s="7" t="s">
        <v>35</v>
      </c>
      <c r="C3" s="8"/>
      <c r="D3" s="22" t="s">
        <v>51</v>
      </c>
      <c r="E3" s="8" t="s">
        <v>20</v>
      </c>
      <c r="F3" s="8"/>
      <c r="G3" s="9" t="s">
        <v>26</v>
      </c>
      <c r="H3" s="10">
        <v>1</v>
      </c>
      <c r="I3" s="11" t="str">
        <f t="shared" ref="I3:I19" si="0">IF(OR(AND(H3&gt;1,H3&lt;&gt;"-")),"Can exchange","")</f>
        <v/>
      </c>
    </row>
    <row r="4" spans="1:9" ht="15" customHeight="1" x14ac:dyDescent="0.35">
      <c r="A4" s="6">
        <v>2006</v>
      </c>
      <c r="B4" s="12" t="s">
        <v>4</v>
      </c>
      <c r="C4" s="12" t="s">
        <v>4</v>
      </c>
      <c r="D4" s="12" t="s">
        <v>4</v>
      </c>
      <c r="E4" s="12" t="s">
        <v>4</v>
      </c>
      <c r="F4" s="12" t="s">
        <v>4</v>
      </c>
      <c r="G4" s="12" t="s">
        <v>4</v>
      </c>
      <c r="H4" s="10" t="s">
        <v>4</v>
      </c>
      <c r="I4" s="11" t="str">
        <f t="shared" si="0"/>
        <v/>
      </c>
    </row>
    <row r="5" spans="1:9" ht="15" customHeight="1" x14ac:dyDescent="0.35">
      <c r="A5" s="6">
        <v>2007</v>
      </c>
      <c r="B5" s="7" t="s">
        <v>5</v>
      </c>
      <c r="C5" s="22" t="s">
        <v>66</v>
      </c>
      <c r="D5" s="22" t="s">
        <v>51</v>
      </c>
      <c r="E5" s="8" t="s">
        <v>21</v>
      </c>
      <c r="F5" s="8"/>
      <c r="G5" s="9" t="s">
        <v>26</v>
      </c>
      <c r="H5" s="23">
        <v>3</v>
      </c>
      <c r="I5" s="11" t="str">
        <f t="shared" si="0"/>
        <v>Can exchange</v>
      </c>
    </row>
    <row r="6" spans="1:9" ht="15" customHeight="1" x14ac:dyDescent="0.35">
      <c r="A6" s="6">
        <v>2008</v>
      </c>
      <c r="B6" s="12" t="s">
        <v>4</v>
      </c>
      <c r="C6" s="12" t="s">
        <v>4</v>
      </c>
      <c r="D6" s="12" t="s">
        <v>4</v>
      </c>
      <c r="E6" s="12" t="s">
        <v>4</v>
      </c>
      <c r="F6" s="12" t="s">
        <v>4</v>
      </c>
      <c r="G6" s="12" t="s">
        <v>4</v>
      </c>
      <c r="H6" s="10" t="s">
        <v>4</v>
      </c>
      <c r="I6" s="11" t="str">
        <f t="shared" si="0"/>
        <v/>
      </c>
    </row>
    <row r="7" spans="1:9" ht="15" customHeight="1" x14ac:dyDescent="0.35">
      <c r="A7" s="6">
        <v>2009</v>
      </c>
      <c r="B7" s="7" t="s">
        <v>6</v>
      </c>
      <c r="C7" s="22" t="s">
        <v>67</v>
      </c>
      <c r="D7" s="22" t="s">
        <v>51</v>
      </c>
      <c r="E7" s="8" t="s">
        <v>21</v>
      </c>
      <c r="F7" s="8"/>
      <c r="G7" s="9" t="s">
        <v>26</v>
      </c>
      <c r="H7" s="23">
        <v>2</v>
      </c>
      <c r="I7" s="11" t="str">
        <f t="shared" si="0"/>
        <v>Can exchange</v>
      </c>
    </row>
    <row r="8" spans="1:9" ht="15" customHeight="1" x14ac:dyDescent="0.35">
      <c r="A8" s="6">
        <v>2009</v>
      </c>
      <c r="B8" s="7" t="s">
        <v>6</v>
      </c>
      <c r="C8" s="22" t="s">
        <v>67</v>
      </c>
      <c r="D8" s="22" t="s">
        <v>51</v>
      </c>
      <c r="E8" s="8" t="s">
        <v>21</v>
      </c>
      <c r="F8" s="8" t="s">
        <v>50</v>
      </c>
      <c r="G8" s="9" t="s">
        <v>49</v>
      </c>
      <c r="H8" s="10" t="s">
        <v>4</v>
      </c>
      <c r="I8" s="11" t="str">
        <f t="shared" ref="I8" si="1">IF(OR(AND(H8&gt;1,H8&lt;&gt;"-")),"Can exchange","")</f>
        <v/>
      </c>
    </row>
    <row r="9" spans="1:9" ht="15" customHeight="1" x14ac:dyDescent="0.35">
      <c r="A9" s="6">
        <v>2010</v>
      </c>
      <c r="B9" s="7" t="s">
        <v>46</v>
      </c>
      <c r="C9" s="8" t="s">
        <v>39</v>
      </c>
      <c r="D9" s="22" t="s">
        <v>51</v>
      </c>
      <c r="E9" s="8" t="s">
        <v>21</v>
      </c>
      <c r="F9" s="8"/>
      <c r="G9" s="9" t="s">
        <v>27</v>
      </c>
      <c r="H9" s="23">
        <v>2</v>
      </c>
      <c r="I9" s="11" t="str">
        <f t="shared" si="0"/>
        <v>Can exchange</v>
      </c>
    </row>
    <row r="10" spans="1:9" ht="15" customHeight="1" x14ac:dyDescent="0.35">
      <c r="A10" s="6">
        <v>2011</v>
      </c>
      <c r="B10" s="7" t="s">
        <v>47</v>
      </c>
      <c r="C10" s="8" t="s">
        <v>39</v>
      </c>
      <c r="D10" s="22" t="s">
        <v>51</v>
      </c>
      <c r="E10" s="8" t="s">
        <v>21</v>
      </c>
      <c r="F10" s="8"/>
      <c r="G10" s="9" t="s">
        <v>27</v>
      </c>
      <c r="H10" s="23">
        <v>2</v>
      </c>
      <c r="I10" s="11" t="str">
        <f t="shared" si="0"/>
        <v>Can exchange</v>
      </c>
    </row>
    <row r="11" spans="1:9" ht="15" customHeight="1" x14ac:dyDescent="0.35">
      <c r="A11" s="6">
        <v>2012</v>
      </c>
      <c r="B11" s="7" t="s">
        <v>68</v>
      </c>
      <c r="C11" s="22" t="s">
        <v>7</v>
      </c>
      <c r="D11" s="22" t="s">
        <v>51</v>
      </c>
      <c r="E11" s="8" t="s">
        <v>21</v>
      </c>
      <c r="F11" s="8"/>
      <c r="G11" s="9" t="s">
        <v>27</v>
      </c>
      <c r="H11" s="23">
        <v>2</v>
      </c>
      <c r="I11" s="11" t="str">
        <f>IF(OR(AND(H11&gt;1,H11&lt;&gt;"-")),"Can exchange","")</f>
        <v>Can exchange</v>
      </c>
    </row>
    <row r="12" spans="1:9" ht="15" customHeight="1" x14ac:dyDescent="0.35">
      <c r="A12" s="6">
        <v>2012</v>
      </c>
      <c r="B12" s="7" t="s">
        <v>40</v>
      </c>
      <c r="C12" s="8" t="s">
        <v>39</v>
      </c>
      <c r="D12" s="22" t="s">
        <v>51</v>
      </c>
      <c r="E12" s="8" t="s">
        <v>21</v>
      </c>
      <c r="F12" s="8"/>
      <c r="G12" s="9" t="s">
        <v>27</v>
      </c>
      <c r="H12" s="10">
        <v>1</v>
      </c>
      <c r="I12" s="11" t="str">
        <f>IF(OR(AND(H12&gt;1,H12&lt;&gt;"-")),"Can exchange","")</f>
        <v/>
      </c>
    </row>
    <row r="13" spans="1:9" ht="15" customHeight="1" x14ac:dyDescent="0.35">
      <c r="A13" s="6">
        <v>2013</v>
      </c>
      <c r="B13" s="7" t="s">
        <v>41</v>
      </c>
      <c r="C13" s="8" t="s">
        <v>39</v>
      </c>
      <c r="D13" s="22" t="s">
        <v>51</v>
      </c>
      <c r="E13" s="8" t="s">
        <v>21</v>
      </c>
      <c r="F13" s="8"/>
      <c r="G13" s="9" t="s">
        <v>27</v>
      </c>
      <c r="H13" s="10">
        <v>1</v>
      </c>
      <c r="I13" s="11" t="str">
        <f t="shared" si="0"/>
        <v/>
      </c>
    </row>
    <row r="14" spans="1:9" ht="15" customHeight="1" x14ac:dyDescent="0.35">
      <c r="A14" s="6">
        <v>2014</v>
      </c>
      <c r="B14" s="7" t="s">
        <v>42</v>
      </c>
      <c r="C14" s="8" t="s">
        <v>39</v>
      </c>
      <c r="D14" s="22" t="s">
        <v>51</v>
      </c>
      <c r="E14" s="8" t="s">
        <v>21</v>
      </c>
      <c r="F14" s="8"/>
      <c r="G14" s="9" t="s">
        <v>27</v>
      </c>
      <c r="H14" s="10">
        <v>1</v>
      </c>
      <c r="I14" s="11" t="str">
        <f t="shared" si="0"/>
        <v/>
      </c>
    </row>
    <row r="15" spans="1:9" ht="15" customHeight="1" x14ac:dyDescent="0.35">
      <c r="A15" s="6">
        <v>2014</v>
      </c>
      <c r="B15" s="7" t="s">
        <v>36</v>
      </c>
      <c r="C15" s="8"/>
      <c r="D15" s="22" t="s">
        <v>51</v>
      </c>
      <c r="E15" s="8" t="s">
        <v>21</v>
      </c>
      <c r="F15" s="8"/>
      <c r="G15" s="9" t="s">
        <v>28</v>
      </c>
      <c r="H15" s="10">
        <v>1</v>
      </c>
      <c r="I15" s="11" t="str">
        <f t="shared" si="0"/>
        <v/>
      </c>
    </row>
    <row r="16" spans="1:9" ht="15" customHeight="1" x14ac:dyDescent="0.35">
      <c r="A16" s="6">
        <v>2015</v>
      </c>
      <c r="B16" s="7" t="s">
        <v>48</v>
      </c>
      <c r="C16" s="8" t="s">
        <v>39</v>
      </c>
      <c r="D16" s="22" t="s">
        <v>51</v>
      </c>
      <c r="E16" s="8" t="s">
        <v>21</v>
      </c>
      <c r="F16" s="8"/>
      <c r="G16" s="9" t="s">
        <v>29</v>
      </c>
      <c r="H16" s="10">
        <v>1</v>
      </c>
      <c r="I16" s="11" t="str">
        <f t="shared" si="0"/>
        <v/>
      </c>
    </row>
    <row r="17" spans="1:9" ht="15" customHeight="1" x14ac:dyDescent="0.35">
      <c r="A17" s="6">
        <v>2015</v>
      </c>
      <c r="B17" s="7" t="s">
        <v>8</v>
      </c>
      <c r="C17" s="22" t="s">
        <v>69</v>
      </c>
      <c r="D17" s="22" t="s">
        <v>51</v>
      </c>
      <c r="E17" s="8" t="s">
        <v>21</v>
      </c>
      <c r="F17" s="8"/>
      <c r="G17" s="9" t="s">
        <v>30</v>
      </c>
      <c r="H17" s="10">
        <v>1</v>
      </c>
      <c r="I17" s="11" t="str">
        <f t="shared" si="0"/>
        <v/>
      </c>
    </row>
    <row r="18" spans="1:9" ht="15" customHeight="1" x14ac:dyDescent="0.35">
      <c r="A18" s="6">
        <v>2016</v>
      </c>
      <c r="B18" s="7" t="s">
        <v>43</v>
      </c>
      <c r="C18" s="8" t="s">
        <v>39</v>
      </c>
      <c r="D18" s="22" t="s">
        <v>51</v>
      </c>
      <c r="E18" s="8" t="s">
        <v>21</v>
      </c>
      <c r="F18" s="8"/>
      <c r="G18" s="9" t="s">
        <v>31</v>
      </c>
      <c r="H18" s="10">
        <v>1</v>
      </c>
      <c r="I18" s="11" t="str">
        <f t="shared" si="0"/>
        <v/>
      </c>
    </row>
    <row r="19" spans="1:9" ht="15" customHeight="1" x14ac:dyDescent="0.35">
      <c r="A19" s="6">
        <v>2017</v>
      </c>
      <c r="B19" s="7" t="s">
        <v>44</v>
      </c>
      <c r="C19" s="8" t="s">
        <v>39</v>
      </c>
      <c r="D19" s="22" t="s">
        <v>51</v>
      </c>
      <c r="E19" s="8" t="s">
        <v>21</v>
      </c>
      <c r="F19" s="8"/>
      <c r="G19" s="9" t="s">
        <v>32</v>
      </c>
      <c r="H19" s="10">
        <v>1</v>
      </c>
      <c r="I19" s="11" t="str">
        <f t="shared" si="0"/>
        <v/>
      </c>
    </row>
    <row r="20" spans="1:9" ht="15" customHeight="1" x14ac:dyDescent="0.35">
      <c r="A20" s="6">
        <v>2018</v>
      </c>
      <c r="B20" s="7" t="s">
        <v>37</v>
      </c>
      <c r="C20" s="8"/>
      <c r="D20" s="22" t="s">
        <v>51</v>
      </c>
      <c r="E20" s="8" t="s">
        <v>21</v>
      </c>
      <c r="F20" s="8"/>
      <c r="G20" s="9" t="s">
        <v>34</v>
      </c>
      <c r="H20" s="10">
        <v>2</v>
      </c>
      <c r="I20" s="11" t="str">
        <f>IF(OR(AND(H20&gt;1,H20&lt;&gt;"-")),"Can exchange","")</f>
        <v>Can exchange</v>
      </c>
    </row>
    <row r="21" spans="1:9" ht="15" customHeight="1" x14ac:dyDescent="0.35">
      <c r="A21" s="6">
        <v>2018</v>
      </c>
      <c r="B21" s="7" t="s">
        <v>38</v>
      </c>
      <c r="C21" s="8" t="s">
        <v>39</v>
      </c>
      <c r="D21" s="22" t="s">
        <v>51</v>
      </c>
      <c r="E21" s="8" t="s">
        <v>21</v>
      </c>
      <c r="F21" s="8"/>
      <c r="G21" s="9" t="s">
        <v>33</v>
      </c>
      <c r="H21" s="10">
        <v>1</v>
      </c>
      <c r="I21" s="11" t="str">
        <f>IF(OR(AND(H21&gt;1,H21&lt;&gt;"-")),"Can exchange","")</f>
        <v/>
      </c>
    </row>
    <row r="22" spans="1:9" ht="15" customHeight="1" x14ac:dyDescent="0.35">
      <c r="A22" s="6">
        <v>2019</v>
      </c>
      <c r="B22" s="7" t="s">
        <v>45</v>
      </c>
      <c r="C22" s="8" t="s">
        <v>39</v>
      </c>
      <c r="D22" s="22" t="s">
        <v>51</v>
      </c>
      <c r="E22" s="8" t="s">
        <v>21</v>
      </c>
      <c r="F22" s="8"/>
      <c r="G22" s="9" t="s">
        <v>32</v>
      </c>
      <c r="H22" s="10">
        <v>1</v>
      </c>
      <c r="I22" s="11" t="str">
        <f t="shared" ref="I22" si="2">IF(OR(AND(H22&gt;1,H22&lt;&gt;"-")),"Can exchange","")</f>
        <v/>
      </c>
    </row>
    <row r="23" spans="1:9" ht="15" customHeight="1" x14ac:dyDescent="0.35">
      <c r="A23" s="6">
        <v>2020</v>
      </c>
      <c r="B23" s="7" t="s">
        <v>52</v>
      </c>
      <c r="C23" s="8" t="s">
        <v>39</v>
      </c>
      <c r="D23" s="22" t="s">
        <v>51</v>
      </c>
      <c r="E23" s="8" t="s">
        <v>21</v>
      </c>
      <c r="F23" s="8"/>
      <c r="G23" s="9" t="s">
        <v>27</v>
      </c>
      <c r="H23" s="10">
        <v>1</v>
      </c>
      <c r="I23" s="11" t="str">
        <f t="shared" ref="I23" si="3">IF(OR(AND(H23&gt;1,H23&lt;&gt;"-")),"Can exchange","")</f>
        <v/>
      </c>
    </row>
    <row r="24" spans="1:9" ht="15" customHeight="1" x14ac:dyDescent="0.35">
      <c r="A24" s="6">
        <v>2021</v>
      </c>
      <c r="B24" s="7" t="s">
        <v>53</v>
      </c>
      <c r="C24" s="8" t="s">
        <v>39</v>
      </c>
      <c r="D24" s="22" t="s">
        <v>51</v>
      </c>
      <c r="E24" s="8" t="s">
        <v>21</v>
      </c>
      <c r="F24" s="8"/>
      <c r="G24" s="9" t="s">
        <v>27</v>
      </c>
      <c r="H24" s="10">
        <v>1</v>
      </c>
      <c r="I24" s="11" t="str">
        <f t="shared" ref="I24" si="4">IF(OR(AND(H24&gt;1,H24&lt;&gt;"-")),"Can exchange","")</f>
        <v/>
      </c>
    </row>
    <row r="25" spans="1:9" ht="15" customHeight="1" x14ac:dyDescent="0.35">
      <c r="A25" s="6">
        <v>2022</v>
      </c>
      <c r="B25" s="7" t="s">
        <v>54</v>
      </c>
      <c r="C25" s="8" t="s">
        <v>39</v>
      </c>
      <c r="D25" s="22" t="s">
        <v>51</v>
      </c>
      <c r="E25" s="8" t="s">
        <v>21</v>
      </c>
      <c r="F25" s="8"/>
      <c r="G25" s="9" t="s">
        <v>55</v>
      </c>
      <c r="H25" s="10">
        <v>1</v>
      </c>
      <c r="I25" s="11" t="str">
        <f t="shared" ref="I25:I27" si="5">IF(OR(AND(H25&gt;1,H25&lt;&gt;"-")),"Can exchange","")</f>
        <v/>
      </c>
    </row>
    <row r="26" spans="1:9" ht="15" customHeight="1" x14ac:dyDescent="0.35">
      <c r="A26" s="6">
        <v>2022</v>
      </c>
      <c r="B26" s="7" t="s">
        <v>56</v>
      </c>
      <c r="C26" s="8"/>
      <c r="D26" s="22" t="s">
        <v>51</v>
      </c>
      <c r="E26" s="8" t="s">
        <v>21</v>
      </c>
      <c r="F26" s="8"/>
      <c r="G26" s="9" t="s">
        <v>55</v>
      </c>
      <c r="H26" s="10">
        <v>1</v>
      </c>
      <c r="I26" s="11" t="str">
        <f t="shared" si="5"/>
        <v/>
      </c>
    </row>
    <row r="27" spans="1:9" ht="15" customHeight="1" x14ac:dyDescent="0.35">
      <c r="A27" s="6">
        <v>2022</v>
      </c>
      <c r="B27" s="7" t="s">
        <v>57</v>
      </c>
      <c r="C27" s="22" t="s">
        <v>70</v>
      </c>
      <c r="D27" s="22" t="s">
        <v>51</v>
      </c>
      <c r="E27" s="8" t="s">
        <v>21</v>
      </c>
      <c r="F27" s="8"/>
      <c r="G27" s="9" t="s">
        <v>55</v>
      </c>
      <c r="H27" s="10">
        <v>1</v>
      </c>
      <c r="I27" s="11" t="str">
        <f t="shared" si="5"/>
        <v/>
      </c>
    </row>
    <row r="28" spans="1:9" ht="15" customHeight="1" x14ac:dyDescent="0.35">
      <c r="A28" s="6">
        <v>2023</v>
      </c>
      <c r="B28" s="7" t="s">
        <v>58</v>
      </c>
      <c r="C28" s="8" t="s">
        <v>39</v>
      </c>
      <c r="D28" s="22" t="s">
        <v>51</v>
      </c>
      <c r="E28" s="8" t="s">
        <v>21</v>
      </c>
      <c r="F28" s="8"/>
      <c r="G28" s="9" t="s">
        <v>27</v>
      </c>
      <c r="H28" s="10">
        <v>1</v>
      </c>
      <c r="I28" s="11" t="str">
        <f t="shared" ref="I28" si="6">IF(OR(AND(H28&gt;1,H28&lt;&gt;"-")),"Can exchange","")</f>
        <v/>
      </c>
    </row>
    <row r="29" spans="1:9" ht="15" customHeight="1" x14ac:dyDescent="0.35">
      <c r="A29" s="6">
        <v>2023</v>
      </c>
      <c r="B29" s="7" t="s">
        <v>59</v>
      </c>
      <c r="C29" s="8"/>
      <c r="D29" s="22" t="s">
        <v>51</v>
      </c>
      <c r="E29" s="8" t="s">
        <v>21</v>
      </c>
      <c r="F29" s="8"/>
      <c r="G29" s="9" t="s">
        <v>60</v>
      </c>
      <c r="H29" s="10">
        <v>1</v>
      </c>
      <c r="I29" s="11" t="str">
        <f t="shared" ref="I29" si="7">IF(OR(AND(H29&gt;1,H29&lt;&gt;"-")),"Can exchange","")</f>
        <v/>
      </c>
    </row>
    <row r="30" spans="1:9" ht="15" customHeight="1" x14ac:dyDescent="0.35">
      <c r="A30" s="6">
        <v>2024</v>
      </c>
      <c r="B30" s="7" t="s">
        <v>62</v>
      </c>
      <c r="C30" s="8"/>
      <c r="D30" s="22" t="s">
        <v>51</v>
      </c>
      <c r="E30" s="8" t="s">
        <v>21</v>
      </c>
      <c r="F30" s="8"/>
      <c r="G30" s="9" t="s">
        <v>60</v>
      </c>
      <c r="H30" s="10">
        <v>1</v>
      </c>
      <c r="I30" s="11" t="str">
        <f t="shared" ref="I30:I31" si="8">IF(OR(AND(H30&gt;1,H30&lt;&gt;"-")),"Can exchange","")</f>
        <v/>
      </c>
    </row>
    <row r="31" spans="1:9" ht="15" customHeight="1" x14ac:dyDescent="0.35">
      <c r="A31" s="6">
        <v>2024</v>
      </c>
      <c r="B31" s="7" t="s">
        <v>63</v>
      </c>
      <c r="C31" s="8" t="s">
        <v>39</v>
      </c>
      <c r="D31" s="22" t="s">
        <v>51</v>
      </c>
      <c r="E31" s="8" t="s">
        <v>21</v>
      </c>
      <c r="F31" s="8"/>
      <c r="G31" s="9" t="s">
        <v>60</v>
      </c>
      <c r="H31" s="10">
        <v>1</v>
      </c>
      <c r="I31" s="11" t="str">
        <f t="shared" si="8"/>
        <v/>
      </c>
    </row>
    <row r="32" spans="1:9" ht="15" customHeight="1" x14ac:dyDescent="0.35">
      <c r="A32" s="6">
        <v>2025</v>
      </c>
      <c r="B32" s="7" t="s">
        <v>71</v>
      </c>
      <c r="C32" s="8" t="s">
        <v>39</v>
      </c>
      <c r="D32" s="22" t="s">
        <v>51</v>
      </c>
      <c r="E32" s="8" t="s">
        <v>21</v>
      </c>
      <c r="F32" s="8"/>
      <c r="G32" s="9" t="s">
        <v>72</v>
      </c>
      <c r="H32" s="10">
        <v>1</v>
      </c>
      <c r="I32" s="11" t="str">
        <f t="shared" ref="I32:I33" si="9">IF(OR(AND(H32&gt;1,H32&lt;&gt;"-")),"Can exchange","")</f>
        <v/>
      </c>
    </row>
    <row r="33" spans="1:9" ht="15" customHeight="1" x14ac:dyDescent="0.35">
      <c r="A33" s="6">
        <v>2026</v>
      </c>
      <c r="B33" s="7" t="s">
        <v>75</v>
      </c>
      <c r="C33" s="8" t="s">
        <v>39</v>
      </c>
      <c r="D33" s="22" t="s">
        <v>51</v>
      </c>
      <c r="E33" s="8" t="s">
        <v>21</v>
      </c>
      <c r="F33" s="8"/>
      <c r="G33" s="9" t="s">
        <v>60</v>
      </c>
      <c r="H33" s="10">
        <v>0</v>
      </c>
      <c r="I33" s="11" t="str">
        <f t="shared" si="9"/>
        <v/>
      </c>
    </row>
    <row r="34" spans="1:9" ht="15" customHeight="1" x14ac:dyDescent="0.35">
      <c r="A34" s="6">
        <v>2026</v>
      </c>
      <c r="B34" s="7" t="s">
        <v>76</v>
      </c>
      <c r="C34" s="8"/>
      <c r="D34" s="22" t="s">
        <v>51</v>
      </c>
      <c r="E34" s="8" t="s">
        <v>21</v>
      </c>
      <c r="F34" s="8"/>
      <c r="G34" s="9" t="s">
        <v>60</v>
      </c>
      <c r="H34" s="10">
        <v>0</v>
      </c>
      <c r="I34" s="11" t="str">
        <f t="shared" ref="I34" si="10">IF(OR(AND(H34&gt;1,H34&lt;&gt;"-")),"Can exchange","")</f>
        <v/>
      </c>
    </row>
  </sheetData>
  <autoFilter ref="B2:G32" xr:uid="{00000000-0001-0000-0000-000000000000}"/>
  <mergeCells count="2">
    <mergeCell ref="A1:A2"/>
    <mergeCell ref="C1:F1"/>
  </mergeCells>
  <phoneticPr fontId="8" type="noConversion"/>
  <conditionalFormatting sqref="H3 H9:H24 H5 H7">
    <cfRule type="containsText" dxfId="16" priority="29" operator="containsText" text="*-">
      <formula>NOT(ISERROR(SEARCH(("*-"),(H3))))</formula>
    </cfRule>
  </conditionalFormatting>
  <conditionalFormatting sqref="H9:H24 H3 H5 H7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15" priority="27" operator="containsText" text="*-">
      <formula>NOT(ISERROR(SEARCH(("*-"),(H4))))</formula>
    </cfRule>
  </conditionalFormatting>
  <conditionalFormatting sqref="H4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ntainsText" dxfId="14" priority="25" operator="containsText" text="*-">
      <formula>NOT(ISERROR(SEARCH(("*-"),(H6))))</formula>
    </cfRule>
  </conditionalFormatting>
  <conditionalFormatting sqref="H6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5">
    <cfRule type="containsText" dxfId="13" priority="21" operator="containsText" text="*-">
      <formula>NOT(ISERROR(SEARCH(("*-"),(H25))))</formula>
    </cfRule>
  </conditionalFormatting>
  <conditionalFormatting sqref="H25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ontainsText" dxfId="12" priority="19" operator="containsText" text="*-">
      <formula>NOT(ISERROR(SEARCH(("*-"),(H26))))</formula>
    </cfRule>
  </conditionalFormatting>
  <conditionalFormatting sqref="H26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11" priority="17" operator="containsText" text="*-">
      <formula>NOT(ISERROR(SEARCH(("*-"),(H27))))</formula>
    </cfRule>
  </conditionalFormatting>
  <conditionalFormatting sqref="H27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10" priority="15" operator="containsText" text="*-">
      <formula>NOT(ISERROR(SEARCH(("*-"),(H28))))</formula>
    </cfRule>
  </conditionalFormatting>
  <conditionalFormatting sqref="H28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9" priority="13" operator="containsText" text="*-">
      <formula>NOT(ISERROR(SEARCH(("*-"),(H29))))</formula>
    </cfRule>
  </conditionalFormatting>
  <conditionalFormatting sqref="H29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0">
    <cfRule type="containsText" dxfId="8" priority="11" operator="containsText" text="*-">
      <formula>NOT(ISERROR(SEARCH(("*-"),(H30))))</formula>
    </cfRule>
  </conditionalFormatting>
  <conditionalFormatting sqref="H30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1">
    <cfRule type="containsText" dxfId="7" priority="9" operator="containsText" text="*-">
      <formula>NOT(ISERROR(SEARCH(("*-"),(H31))))</formula>
    </cfRule>
  </conditionalFormatting>
  <conditionalFormatting sqref="H31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">
    <cfRule type="containsText" dxfId="6" priority="7" operator="containsText" text="*-">
      <formula>NOT(ISERROR(SEARCH(("*-"),(H8))))</formula>
    </cfRule>
  </conditionalFormatting>
  <conditionalFormatting sqref="H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">
    <cfRule type="containsText" dxfId="5" priority="5" operator="containsText" text="*-">
      <formula>NOT(ISERROR(SEARCH(("*-"),(H32))))</formula>
    </cfRule>
  </conditionalFormatting>
  <conditionalFormatting sqref="H3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">
    <cfRule type="containsText" dxfId="1" priority="3" operator="containsText" text="*-">
      <formula>NOT(ISERROR(SEARCH(("*-"),(H33))))</formula>
    </cfRule>
  </conditionalFormatting>
  <conditionalFormatting sqref="H3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4">
    <cfRule type="containsText" dxfId="0" priority="1" operator="containsText" text="*-">
      <formula>NOT(ISERROR(SEARCH(("*-"),(H34))))</formula>
    </cfRule>
  </conditionalFormatting>
  <conditionalFormatting sqref="H3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7" t="s">
        <v>9</v>
      </c>
      <c r="B1" s="18" t="s">
        <v>13</v>
      </c>
      <c r="C1" s="19" t="s">
        <v>14</v>
      </c>
    </row>
    <row r="2" spans="1:3" ht="15" customHeight="1" x14ac:dyDescent="0.35">
      <c r="A2" s="14">
        <v>1</v>
      </c>
      <c r="B2" s="15" t="s">
        <v>10</v>
      </c>
      <c r="C2" s="16" t="s">
        <v>15</v>
      </c>
    </row>
    <row r="3" spans="1:3" ht="15" customHeight="1" x14ac:dyDescent="0.35">
      <c r="A3" s="14">
        <v>2</v>
      </c>
      <c r="B3" s="15" t="s">
        <v>11</v>
      </c>
      <c r="C3" s="16" t="s">
        <v>17</v>
      </c>
    </row>
    <row r="4" spans="1:3" ht="15" customHeight="1" x14ac:dyDescent="0.35">
      <c r="A4" s="14">
        <v>3</v>
      </c>
      <c r="B4" s="15" t="s">
        <v>12</v>
      </c>
      <c r="C4" s="16" t="s">
        <v>18</v>
      </c>
    </row>
    <row r="5" spans="1:3" ht="15" customHeight="1" x14ac:dyDescent="0.35">
      <c r="A5" s="14">
        <v>4</v>
      </c>
      <c r="B5" s="15" t="s">
        <v>16</v>
      </c>
      <c r="C5" s="16" t="s">
        <v>19</v>
      </c>
    </row>
    <row r="6" spans="1:3" ht="15" customHeight="1" x14ac:dyDescent="0.35">
      <c r="A6" s="14">
        <v>5</v>
      </c>
      <c r="B6" s="15" t="s">
        <v>22</v>
      </c>
      <c r="C6" s="20" t="s">
        <v>23</v>
      </c>
    </row>
    <row r="7" spans="1:3" ht="15" customHeight="1" x14ac:dyDescent="0.35">
      <c r="A7" s="14">
        <v>6</v>
      </c>
      <c r="B7" s="15" t="s">
        <v>22</v>
      </c>
      <c r="C7" s="20" t="s">
        <v>24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7" r:id="rId5" xr:uid="{00000000-0004-0000-0100-000004000000}"/>
    <hyperlink ref="B6" r:id="rId6" xr:uid="{00000000-0004-0000-0100-000005000000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2026-02-13T10:39:22Z</dcterms:modified>
</cp:coreProperties>
</file>