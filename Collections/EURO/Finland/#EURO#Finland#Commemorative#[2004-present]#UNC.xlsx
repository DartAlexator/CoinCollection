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Lord_Alexator\Documents\CoinCollection\Collections\EURO\Finland\"/>
    </mc:Choice>
  </mc:AlternateContent>
  <xr:revisionPtr revIDLastSave="0" documentId="13_ncr:1_{A03FB05F-2CF9-43F8-B5BF-D5C6D61100A9}" xr6:coauthVersionLast="47" xr6:coauthVersionMax="47" xr10:uidLastSave="{00000000-0000-0000-0000-000000000000}"/>
  <bookViews>
    <workbookView xWindow="-110" yWindow="-110" windowWidth="38620" windowHeight="21220" xr2:uid="{00000000-000D-0000-FFFF-FFFF00000000}"/>
  </bookViews>
  <sheets>
    <sheet name="2€" sheetId="1" r:id="rId1"/>
    <sheet name="Links" sheetId="2" r:id="rId2"/>
  </sheets>
  <definedNames>
    <definedName name="_xlnm._FilterDatabase" localSheetId="0" hidden="1">'2€'!$B$2:$F$2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K4" i="1" l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G2" authorId="0" shapeId="0" xr:uid="{62DF2243-2FB4-49DE-AAAF-0B81E966C004}">
      <text>
        <r>
          <rPr>
            <b/>
            <sz val="9"/>
            <color indexed="81"/>
            <rFont val="Tahoma"/>
            <family val="2"/>
            <charset val="204"/>
          </rPr>
          <t>Suomen Rahapaja
(Finland (Vantaa) mint)</t>
        </r>
      </text>
    </comment>
    <comment ref="H2" authorId="0" shapeId="0" xr:uid="{7E72EA85-A19F-4CC9-B677-EC81E4FA3F13}">
      <text>
        <r>
          <rPr>
            <b/>
            <sz val="9"/>
            <color indexed="81"/>
            <rFont val="Tahoma"/>
            <family val="2"/>
            <charset val="204"/>
          </rPr>
          <t>Koninklijke Nederlandse Munt
(Royal Dutch Mint(Utrecht))</t>
        </r>
      </text>
    </comment>
    <comment ref="I2" authorId="0" shapeId="0" xr:uid="{00000000-0006-0000-0000-000002000000}">
      <text>
        <r>
          <rPr>
            <b/>
            <sz val="9"/>
            <color indexed="81"/>
            <rFont val="Tahoma"/>
            <family val="2"/>
            <charset val="204"/>
          </rPr>
          <t>Suomen Rahapaja
(Finland (Vantaa) mint)</t>
        </r>
      </text>
    </comment>
    <comment ref="J2" authorId="0" shapeId="0" xr:uid="{DAAE402F-E555-4D54-B780-171D6CF48150}">
      <text>
        <r>
          <rPr>
            <b/>
            <sz val="9"/>
            <color indexed="81"/>
            <rFont val="Tahoma"/>
            <family val="2"/>
            <charset val="204"/>
          </rPr>
          <t>Koninklijke Nederlandse Munt
(Royal Dutch Mint(Utrecht))</t>
        </r>
      </text>
    </comment>
  </commentList>
</comments>
</file>

<file path=xl/sharedStrings.xml><?xml version="1.0" encoding="utf-8"?>
<sst xmlns="http://schemas.openxmlformats.org/spreadsheetml/2006/main" count="306" uniqueCount="90">
  <si>
    <t>Year</t>
  </si>
  <si>
    <t>Type</t>
  </si>
  <si>
    <t>Mintage</t>
  </si>
  <si>
    <t>2€</t>
  </si>
  <si>
    <t>50th Anniversary - Signing of the Treaty of Rome</t>
  </si>
  <si>
    <t>Ten years of Economic and Monetary Union (EMU) and the birth of the euro</t>
  </si>
  <si>
    <t>10 Years of Euro Cash</t>
  </si>
  <si>
    <t>№</t>
  </si>
  <si>
    <t>euro-coins</t>
  </si>
  <si>
    <t>wiki</t>
  </si>
  <si>
    <t>skopil</t>
  </si>
  <si>
    <t>Link</t>
  </si>
  <si>
    <t>Description (single table, table set, mintage, prices):</t>
  </si>
  <si>
    <t>Low convenience single table with mintages</t>
  </si>
  <si>
    <t>en.ucoin</t>
  </si>
  <si>
    <t>Low convenience set of tables with mintages</t>
  </si>
  <si>
    <t>Low convenience set of tables with photos</t>
  </si>
  <si>
    <t>Low convenience single table with varieties and mintages and photos</t>
  </si>
  <si>
    <t>Rev: old map of Europe</t>
  </si>
  <si>
    <t>Rev: new map of Europe</t>
  </si>
  <si>
    <t>eurocollection</t>
  </si>
  <si>
    <t>High convenience single table of varieties with photos</t>
  </si>
  <si>
    <t>High convenience set of tables table of actual coins with photos</t>
  </si>
  <si>
    <t>500.000</t>
  </si>
  <si>
    <t>1.000.000</t>
  </si>
  <si>
    <t>2.000.000</t>
  </si>
  <si>
    <t>2.500.000</t>
  </si>
  <si>
    <t>1.400.000</t>
  </si>
  <si>
    <t>1.500.000</t>
  </si>
  <si>
    <t>1.600.000</t>
  </si>
  <si>
    <t>FI</t>
  </si>
  <si>
    <t>Obv: Without mint symbol</t>
  </si>
  <si>
    <t>Obv: Mint director letter - "M"</t>
  </si>
  <si>
    <t>Obv: With mint symbol - 
stylized cornucopia</t>
  </si>
  <si>
    <t>Obv: With mint symbol - 
heraldic lion</t>
  </si>
  <si>
    <t>Enlargement of the European Union by ten new members</t>
  </si>
  <si>
    <t>60th Anniversary - United Nations. 50th Anniversary - Finland's Membership of UN</t>
  </si>
  <si>
    <t>100th Anniversary - Introduction of Universal and Equal Suffrage</t>
  </si>
  <si>
    <t>90th Anniversary - Independence of Finland</t>
  </si>
  <si>
    <t>60th Anniversary - Universal Declaration of Human Rights</t>
  </si>
  <si>
    <t>200th Anniversary - Finnish Autonomy</t>
  </si>
  <si>
    <t>150th Anniversary - Granting Finland the right to issue banknotes and coins</t>
  </si>
  <si>
    <t>200th Anniversary - Bank of Finland</t>
  </si>
  <si>
    <t>150th Anniversary - Birth of Helene Schjerfbeck</t>
  </si>
  <si>
    <t>150th Anniversary - Parliament</t>
  </si>
  <si>
    <t>125th Anniversary - Birth of Frans Eemil Sillanpää</t>
  </si>
  <si>
    <t>100th Anniversary - Birth of Tove Jansson</t>
  </si>
  <si>
    <t>100th Anniversary - Birth of Ilmari Tapiovaara</t>
  </si>
  <si>
    <t>150th Anniversary - Birth of Jean Sibelius</t>
  </si>
  <si>
    <t>150th Anniversary - Birth of Akseli Gallen-Kallela</t>
  </si>
  <si>
    <t>90th Anniversary - Death of Eino Leino</t>
  </si>
  <si>
    <t>100th Anniversary - Birth of Georg Henrik von Wright</t>
  </si>
  <si>
    <t>100th Anniversary - Independence</t>
  </si>
  <si>
    <t>Finnish Nature</t>
  </si>
  <si>
    <t>National Landscapes of Finland - Koli</t>
  </si>
  <si>
    <t>Finnish Sauna</t>
  </si>
  <si>
    <t>100th Anniversary - Constitution</t>
  </si>
  <si>
    <t>Obv: Without mint director symbol</t>
  </si>
  <si>
    <t>720.000</t>
  </si>
  <si>
    <t>700.000</t>
  </si>
  <si>
    <t>100 years since the foundation of the University of Turku</t>
  </si>
  <si>
    <t>100 years since the birth of Väinö Linna</t>
  </si>
  <si>
    <t>Journalism</t>
  </si>
  <si>
    <t>100th Anniversary - Self-government in the Åland Region</t>
  </si>
  <si>
    <t>100th Anniversary - National Ballet in Finland</t>
  </si>
  <si>
    <t>35th Anniversary - Erasmus Programme</t>
  </si>
  <si>
    <t>Climate Research</t>
  </si>
  <si>
    <t>100th Anniversary - Finland's First Nature Conservation Law</t>
  </si>
  <si>
    <t>Social and Health Services in Finland</t>
  </si>
  <si>
    <t>800.000</t>
  </si>
  <si>
    <t>400.000</t>
  </si>
  <si>
    <t>Subject</t>
  </si>
  <si>
    <t>Subtype_1#Series</t>
  </si>
  <si>
    <t>Subtype_3#Map_of_Europe</t>
  </si>
  <si>
    <t>Treaty of Rome</t>
  </si>
  <si>
    <t>10 Years of EMU</t>
  </si>
  <si>
    <t>10th Anniversary - Euro Coins and Banknotes</t>
  </si>
  <si>
    <t>30th Anniversary - European Union flag</t>
  </si>
  <si>
    <t>European Union flag</t>
  </si>
  <si>
    <t>Erasmus Programme</t>
  </si>
  <si>
    <t>Elections and Democracy</t>
  </si>
  <si>
    <t>Gesellius-Lindgren-Saarinen Architecture Firm</t>
  </si>
  <si>
    <t>Subtype_2#Special_marks_1</t>
  </si>
  <si>
    <t>Subtype_4#Special_marks_2</t>
  </si>
  <si>
    <t>Diplomacy and Foreign Policy</t>
  </si>
  <si>
    <t>Obv: With mint symbol Caduceus</t>
  </si>
  <si>
    <t>204.000</t>
  </si>
  <si>
    <t>NL</t>
  </si>
  <si>
    <t>-</t>
  </si>
  <si>
    <t>100th Anniversary - Finland-Sweden Athletics Match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</si>
</sst>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\ [$€-1];[Red]\-#,##0\ [$€-1]"/>
  </numFmts>
  <fonts count="9" x14ac:knownFonts="1">
    <font>
      <sz val="11"/>
      <color rgb="FF000000"/>
      <name val="Calibri"/>
    </font>
    <font>
      <sz val="11"/>
      <color theme="1"/>
      <name val="Calibri"/>
      <family val="2"/>
      <charset val="204"/>
      <scheme val="minor"/>
    </font>
    <font>
      <sz val="11"/>
      <color rgb="FF000000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b/>
      <sz val="9"/>
      <color indexed="81"/>
      <name val="Tahoma"/>
      <family val="2"/>
      <charset val="204"/>
    </font>
    <font>
      <sz val="11"/>
      <name val="Calibri"/>
      <family val="2"/>
      <charset val="204"/>
    </font>
    <font>
      <sz val="11"/>
      <color rgb="FF000000"/>
      <name val="Calibri"/>
      <family val="2"/>
      <charset val="204"/>
    </font>
    <font>
      <sz val="11"/>
      <color rgb="FFC00000"/>
      <name val="Calibri"/>
      <family val="2"/>
      <charset val="204"/>
    </font>
    <font>
      <u/>
      <sz val="11"/>
      <color theme="10"/>
      <name val="Calibri"/>
      <family val="2"/>
      <charset val="204"/>
    </font>
  </fonts>
  <fills count="11">
    <fill>
      <patternFill patternType="none"/>
    </fill>
    <fill>
      <patternFill patternType="gray125"/>
    </fill>
    <fill>
      <patternFill patternType="solid">
        <fgColor rgb="FFF1955D"/>
        <bgColor rgb="FF000000"/>
      </patternFill>
    </fill>
    <fill>
      <patternFill patternType="solid">
        <fgColor rgb="FFFAD9C2"/>
        <bgColor indexed="64"/>
      </patternFill>
    </fill>
    <fill>
      <patternFill patternType="solid">
        <fgColor rgb="FFF3B285"/>
        <bgColor indexed="64"/>
      </patternFill>
    </fill>
    <fill>
      <patternFill patternType="solid">
        <fgColor rgb="FFF6C3A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9D3B9"/>
        <bgColor rgb="FF000000"/>
      </patternFill>
    </fill>
    <fill>
      <patternFill patternType="solid">
        <fgColor rgb="FF9BE5FF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0" fontId="6" fillId="0" borderId="0"/>
    <xf numFmtId="0" fontId="8" fillId="0" borderId="0" applyNumberFormat="0" applyFill="0" applyBorder="0" applyAlignment="0" applyProtection="0"/>
  </cellStyleXfs>
  <cellXfs count="36">
    <xf numFmtId="0" fontId="0" fillId="0" borderId="0" xfId="0"/>
    <xf numFmtId="0" fontId="2" fillId="0" borderId="0" xfId="0" applyFont="1"/>
    <xf numFmtId="0" fontId="6" fillId="0" borderId="0" xfId="1"/>
    <xf numFmtId="3" fontId="3" fillId="3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3" fontId="3" fillId="4" borderId="1" xfId="0" applyNumberFormat="1" applyFont="1" applyFill="1" applyBorder="1" applyAlignment="1">
      <alignment horizontal="center" vertical="center" shrinkToFit="1"/>
    </xf>
    <xf numFmtId="3" fontId="3" fillId="5" borderId="1" xfId="0" applyNumberFormat="1" applyFont="1" applyFill="1" applyBorder="1" applyAlignment="1">
      <alignment horizontal="center" vertical="center" shrinkToFit="1"/>
    </xf>
    <xf numFmtId="0" fontId="0" fillId="0" borderId="4" xfId="0" applyBorder="1" applyAlignment="1">
      <alignment horizontal="center"/>
    </xf>
    <xf numFmtId="0" fontId="7" fillId="0" borderId="0" xfId="1" applyFont="1" applyAlignment="1">
      <alignment horizontal="center" vertical="center"/>
    </xf>
    <xf numFmtId="0" fontId="0" fillId="0" borderId="0" xfId="0" applyFont="1" applyAlignment="1"/>
    <xf numFmtId="0" fontId="0" fillId="0" borderId="0" xfId="0" applyAlignment="1">
      <alignment horizontal="center" vertical="center"/>
    </xf>
    <xf numFmtId="0" fontId="8" fillId="0" borderId="0" xfId="2" applyAlignment="1">
      <alignment horizontal="center" vertical="center"/>
    </xf>
    <xf numFmtId="0" fontId="6" fillId="0" borderId="0" xfId="0" applyFont="1" applyAlignment="1">
      <alignment wrapText="1"/>
    </xf>
    <xf numFmtId="0" fontId="0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/>
    <xf numFmtId="0" fontId="0" fillId="0" borderId="0" xfId="0" applyAlignment="1">
      <alignment wrapText="1"/>
    </xf>
    <xf numFmtId="3" fontId="5" fillId="7" borderId="5" xfId="0" applyNumberFormat="1" applyFont="1" applyFill="1" applyBorder="1" applyAlignment="1">
      <alignment horizontal="center" vertical="center" shrinkToFit="1"/>
    </xf>
    <xf numFmtId="0" fontId="1" fillId="6" borderId="6" xfId="0" applyFont="1" applyFill="1" applyBorder="1" applyAlignment="1">
      <alignment horizontal="center"/>
    </xf>
    <xf numFmtId="3" fontId="3" fillId="3" borderId="5" xfId="0" applyNumberFormat="1" applyFont="1" applyFill="1" applyBorder="1" applyAlignment="1">
      <alignment horizontal="center" vertical="center"/>
    </xf>
    <xf numFmtId="3" fontId="3" fillId="5" borderId="5" xfId="0" applyNumberFormat="1" applyFont="1" applyFill="1" applyBorder="1" applyAlignment="1">
      <alignment horizontal="center" vertical="center" shrinkToFit="1"/>
    </xf>
    <xf numFmtId="3" fontId="3" fillId="4" borderId="1" xfId="0" applyNumberFormat="1" applyFont="1" applyFill="1" applyBorder="1" applyAlignment="1">
      <alignment horizontal="center" vertical="center"/>
    </xf>
    <xf numFmtId="164" fontId="2" fillId="0" borderId="0" xfId="0" applyNumberFormat="1" applyFont="1"/>
    <xf numFmtId="0" fontId="5" fillId="2" borderId="2" xfId="0" applyFont="1" applyFill="1" applyBorder="1" applyAlignment="1">
      <alignment horizontal="center" vertical="center"/>
    </xf>
    <xf numFmtId="0" fontId="0" fillId="8" borderId="4" xfId="0" applyFill="1" applyBorder="1" applyAlignment="1">
      <alignment horizontal="center"/>
    </xf>
    <xf numFmtId="3" fontId="3" fillId="9" borderId="1" xfId="0" applyNumberFormat="1" applyFont="1" applyFill="1" applyBorder="1" applyAlignment="1">
      <alignment horizontal="center" vertical="center" shrinkToFit="1"/>
    </xf>
    <xf numFmtId="3" fontId="3" fillId="10" borderId="5" xfId="0" applyNumberFormat="1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5" fillId="2" borderId="0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7" xfId="0" applyBorder="1" applyAlignment="1">
      <alignment horizontal="center" vertical="center"/>
    </xf>
    <xf numFmtId="49" fontId="5" fillId="2" borderId="8" xfId="0" applyNumberFormat="1" applyFont="1" applyFill="1" applyBorder="1" applyAlignment="1">
      <alignment horizontal="center" vertical="center" shrinkToFit="1"/>
    </xf>
    <xf numFmtId="0" fontId="0" fillId="0" borderId="0" xfId="0" applyAlignment="1">
      <alignment horizontal="center" vertical="center" shrinkToFit="1"/>
    </xf>
    <xf numFmtId="0" fontId="5" fillId="2" borderId="8" xfId="0" applyFont="1" applyFill="1" applyBorder="1" applyAlignment="1">
      <alignment horizontal="center"/>
    </xf>
    <xf numFmtId="0" fontId="0" fillId="0" borderId="7" xfId="0" applyBorder="1" applyAlignment="1">
      <alignment horizontal="center"/>
    </xf>
  </cellXfs>
  <cellStyles count="3">
    <cellStyle name="Гиперссылка" xfId="2" builtinId="8"/>
    <cellStyle name="Обычный" xfId="0" builtinId="0"/>
    <cellStyle name="Обычный 2" xfId="1" xr:uid="{00000000-0005-0000-0000-000002000000}"/>
  </cellStyles>
  <dxfs count="23">
    <dxf>
      <alignment horizontal="general" vertical="bottom" textRotation="0" wrapText="1" indent="0" justifyLastLine="0" shrinkToFit="0" readingOrder="0"/>
    </dxf>
    <dxf>
      <alignment horizontal="center"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Таблица4" displayName="Таблица4" ref="A1:C7" totalsRowShown="0">
  <autoFilter ref="A1:C7" xr:uid="{00000000-0009-0000-0100-000002000000}">
    <filterColumn colId="0" hiddenButton="1"/>
    <filterColumn colId="1" hiddenButton="1"/>
    <filterColumn colId="2" hiddenButton="1"/>
  </autoFilter>
  <tableColumns count="3">
    <tableColumn id="1" xr3:uid="{00000000-0010-0000-0000-000001000000}" name="№" dataDxfId="2"/>
    <tableColumn id="2" xr3:uid="{00000000-0010-0000-0000-000002000000}" name="Link" dataDxfId="1" dataCellStyle="Гиперссылка"/>
    <tableColumn id="3" xr3:uid="{00000000-0010-0000-0000-000003000000}" name="Description (single table, table set, mintage, prices):" dataDxfId="0"/>
  </tableColumns>
  <tableStyleInfo name="TableStyleMedium9" showFirstColumn="1" showLastColumn="0" showRowStripes="0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table" Target="../tables/table1.xml"/><Relationship Id="rId3" Type="http://schemas.openxmlformats.org/officeDocument/2006/relationships/hyperlink" Target="https://en.ucoin.net/catalog/?country=finland&amp;period=309&amp;type=2" TargetMode="External"/><Relationship Id="rId7" Type="http://schemas.openxmlformats.org/officeDocument/2006/relationships/printerSettings" Target="../printerSettings/printerSettings2.bin"/><Relationship Id="rId2" Type="http://schemas.openxmlformats.org/officeDocument/2006/relationships/hyperlink" Target="https://skopil.ru/tables/yubilejnye-monety-2-evro.html" TargetMode="External"/><Relationship Id="rId1" Type="http://schemas.openxmlformats.org/officeDocument/2006/relationships/hyperlink" Target="https://en.wikipedia.org/wiki/2_euro_commemorative_coins" TargetMode="External"/><Relationship Id="rId6" Type="http://schemas.openxmlformats.org/officeDocument/2006/relationships/hyperlink" Target="http://www.eurocollection.co.uk/Variants.html" TargetMode="External"/><Relationship Id="rId5" Type="http://schemas.openxmlformats.org/officeDocument/2006/relationships/hyperlink" Target="http://www.eurocollection.co.uk/" TargetMode="External"/><Relationship Id="rId4" Type="http://schemas.openxmlformats.org/officeDocument/2006/relationships/hyperlink" Target="https://www.euro-coins.info/info/mintage/finland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41"/>
  <sheetViews>
    <sheetView tabSelected="1" zoomScaleNormal="100" workbookViewId="0">
      <pane xSplit="11" ySplit="2" topLeftCell="L3" activePane="bottomRight" state="frozen"/>
      <selection pane="topRight" activeCell="F1" sqref="F1"/>
      <selection pane="bottomLeft" activeCell="A3" sqref="A3"/>
      <selection pane="bottomRight" activeCell="Q21" sqref="Q21"/>
    </sheetView>
  </sheetViews>
  <sheetFormatPr defaultColWidth="9.1796875" defaultRowHeight="15" customHeight="1" x14ac:dyDescent="0.35"/>
  <cols>
    <col min="1" max="1" width="5.6328125" style="9" customWidth="1"/>
    <col min="2" max="2" width="50.6328125" style="9" customWidth="1"/>
    <col min="3" max="6" width="33.6328125" style="9" customWidth="1"/>
    <col min="7" max="8" width="12.6328125" style="9" customWidth="1"/>
    <col min="9" max="10" width="3.6328125" style="9" customWidth="1"/>
    <col min="11" max="11" width="12.6328125" style="9" customWidth="1"/>
    <col min="12" max="16384" width="9.1796875" style="1"/>
  </cols>
  <sheetData>
    <row r="1" spans="1:22" ht="15" customHeight="1" x14ac:dyDescent="0.35">
      <c r="A1" s="27" t="s">
        <v>0</v>
      </c>
      <c r="B1" s="23"/>
      <c r="C1" s="29" t="s">
        <v>1</v>
      </c>
      <c r="D1" s="30"/>
      <c r="E1" s="30"/>
      <c r="F1" s="31"/>
      <c r="G1" s="34" t="s">
        <v>2</v>
      </c>
      <c r="H1" s="35"/>
      <c r="I1" s="32" t="s">
        <v>3</v>
      </c>
      <c r="J1" s="33"/>
      <c r="K1" s="2"/>
    </row>
    <row r="2" spans="1:22" ht="15" customHeight="1" x14ac:dyDescent="0.35">
      <c r="A2" s="28"/>
      <c r="B2" s="23" t="s">
        <v>71</v>
      </c>
      <c r="C2" s="3" t="s">
        <v>72</v>
      </c>
      <c r="D2" s="3" t="s">
        <v>82</v>
      </c>
      <c r="E2" s="3" t="s">
        <v>73</v>
      </c>
      <c r="F2" s="3" t="s">
        <v>83</v>
      </c>
      <c r="G2" s="21" t="s">
        <v>30</v>
      </c>
      <c r="H2" s="26" t="s">
        <v>87</v>
      </c>
      <c r="I2" s="19" t="s">
        <v>30</v>
      </c>
      <c r="J2" s="19" t="s">
        <v>87</v>
      </c>
      <c r="K2" s="2"/>
    </row>
    <row r="3" spans="1:22" ht="15" customHeight="1" x14ac:dyDescent="0.35">
      <c r="A3" s="4">
        <v>2004</v>
      </c>
      <c r="B3" s="5" t="s">
        <v>35</v>
      </c>
      <c r="C3" s="20"/>
      <c r="D3" s="20" t="s">
        <v>31</v>
      </c>
      <c r="E3" s="6" t="s">
        <v>18</v>
      </c>
      <c r="F3" s="6" t="s">
        <v>32</v>
      </c>
      <c r="G3" s="17" t="s">
        <v>24</v>
      </c>
      <c r="H3" s="25" t="s">
        <v>88</v>
      </c>
      <c r="I3" s="7">
        <v>1</v>
      </c>
      <c r="J3" s="24" t="s">
        <v>88</v>
      </c>
      <c r="K3" s="8" t="str">
        <f>IF(OR(AND(I3&gt;1,I3&lt;&gt;"-"),AND(J3&gt;1,J3&lt;&gt;"-")),"Can exchange","")</f>
        <v/>
      </c>
    </row>
    <row r="4" spans="1:22" ht="15" customHeight="1" x14ac:dyDescent="0.35">
      <c r="A4" s="4">
        <v>2005</v>
      </c>
      <c r="B4" s="5" t="s">
        <v>36</v>
      </c>
      <c r="C4" s="20"/>
      <c r="D4" s="20" t="s">
        <v>31</v>
      </c>
      <c r="E4" s="6" t="s">
        <v>18</v>
      </c>
      <c r="F4" s="6" t="s">
        <v>32</v>
      </c>
      <c r="G4" s="17" t="s">
        <v>25</v>
      </c>
      <c r="H4" s="25" t="s">
        <v>88</v>
      </c>
      <c r="I4" s="7">
        <v>1</v>
      </c>
      <c r="J4" s="24" t="s">
        <v>88</v>
      </c>
      <c r="K4" s="8" t="str">
        <f t="shared" ref="K4:K41" si="0">IF(OR(AND(I4&gt;1,I4&lt;&gt;"-"),AND(J4&gt;1,J4&lt;&gt;"-")),"Can exchange","")</f>
        <v/>
      </c>
    </row>
    <row r="5" spans="1:22" ht="15" customHeight="1" x14ac:dyDescent="0.35">
      <c r="A5" s="4">
        <v>2006</v>
      </c>
      <c r="B5" s="5" t="s">
        <v>37</v>
      </c>
      <c r="C5" s="20"/>
      <c r="D5" s="20" t="s">
        <v>31</v>
      </c>
      <c r="E5" s="6" t="s">
        <v>18</v>
      </c>
      <c r="F5" s="6" t="s">
        <v>32</v>
      </c>
      <c r="G5" s="17" t="s">
        <v>26</v>
      </c>
      <c r="H5" s="25" t="s">
        <v>88</v>
      </c>
      <c r="I5" s="7">
        <v>1</v>
      </c>
      <c r="J5" s="24" t="s">
        <v>88</v>
      </c>
      <c r="K5" s="8" t="str">
        <f t="shared" si="0"/>
        <v/>
      </c>
    </row>
    <row r="6" spans="1:22" ht="15" customHeight="1" x14ac:dyDescent="0.35">
      <c r="A6" s="4">
        <v>2007</v>
      </c>
      <c r="B6" s="5" t="s">
        <v>38</v>
      </c>
      <c r="C6" s="6"/>
      <c r="D6" s="6" t="s">
        <v>33</v>
      </c>
      <c r="E6" s="6" t="s">
        <v>19</v>
      </c>
      <c r="F6" s="6" t="s">
        <v>57</v>
      </c>
      <c r="G6" s="17" t="s">
        <v>25</v>
      </c>
      <c r="H6" s="25" t="s">
        <v>88</v>
      </c>
      <c r="I6" s="7">
        <v>1</v>
      </c>
      <c r="J6" s="24" t="s">
        <v>88</v>
      </c>
      <c r="K6" s="8" t="str">
        <f t="shared" si="0"/>
        <v/>
      </c>
    </row>
    <row r="7" spans="1:22" ht="15" customHeight="1" x14ac:dyDescent="0.35">
      <c r="A7" s="4">
        <v>2007</v>
      </c>
      <c r="B7" s="5" t="s">
        <v>4</v>
      </c>
      <c r="C7" s="20" t="s">
        <v>74</v>
      </c>
      <c r="D7" s="6" t="s">
        <v>33</v>
      </c>
      <c r="E7" s="6" t="s">
        <v>19</v>
      </c>
      <c r="F7" s="6" t="s">
        <v>57</v>
      </c>
      <c r="G7" s="17" t="s">
        <v>27</v>
      </c>
      <c r="H7" s="25" t="s">
        <v>88</v>
      </c>
      <c r="I7" s="7">
        <v>1</v>
      </c>
      <c r="J7" s="24" t="s">
        <v>88</v>
      </c>
      <c r="K7" s="8" t="str">
        <f t="shared" si="0"/>
        <v/>
      </c>
    </row>
    <row r="8" spans="1:22" ht="15" customHeight="1" x14ac:dyDescent="0.35">
      <c r="A8" s="4">
        <v>2008</v>
      </c>
      <c r="B8" s="5" t="s">
        <v>39</v>
      </c>
      <c r="C8" s="6"/>
      <c r="D8" s="6" t="s">
        <v>33</v>
      </c>
      <c r="E8" s="6" t="s">
        <v>19</v>
      </c>
      <c r="F8" s="6" t="s">
        <v>57</v>
      </c>
      <c r="G8" s="17" t="s">
        <v>28</v>
      </c>
      <c r="H8" s="25" t="s">
        <v>88</v>
      </c>
      <c r="I8" s="7">
        <v>1</v>
      </c>
      <c r="J8" s="24" t="s">
        <v>88</v>
      </c>
      <c r="K8" s="8" t="str">
        <f t="shared" si="0"/>
        <v/>
      </c>
    </row>
    <row r="9" spans="1:22" ht="15" customHeight="1" x14ac:dyDescent="0.35">
      <c r="A9" s="4">
        <v>2009</v>
      </c>
      <c r="B9" s="5" t="s">
        <v>40</v>
      </c>
      <c r="C9" s="6"/>
      <c r="D9" s="6" t="s">
        <v>33</v>
      </c>
      <c r="E9" s="6" t="s">
        <v>19</v>
      </c>
      <c r="F9" s="6" t="s">
        <v>57</v>
      </c>
      <c r="G9" s="17" t="s">
        <v>29</v>
      </c>
      <c r="H9" s="25" t="s">
        <v>88</v>
      </c>
      <c r="I9" s="7">
        <v>1</v>
      </c>
      <c r="J9" s="24" t="s">
        <v>88</v>
      </c>
      <c r="K9" s="8" t="str">
        <f t="shared" si="0"/>
        <v/>
      </c>
    </row>
    <row r="10" spans="1:22" ht="15" customHeight="1" x14ac:dyDescent="0.35">
      <c r="A10" s="4">
        <v>2009</v>
      </c>
      <c r="B10" s="5" t="s">
        <v>5</v>
      </c>
      <c r="C10" s="20" t="s">
        <v>75</v>
      </c>
      <c r="D10" s="6" t="s">
        <v>33</v>
      </c>
      <c r="E10" s="6" t="s">
        <v>19</v>
      </c>
      <c r="F10" s="6" t="s">
        <v>57</v>
      </c>
      <c r="G10" s="17" t="s">
        <v>27</v>
      </c>
      <c r="H10" s="25" t="s">
        <v>88</v>
      </c>
      <c r="I10" s="7">
        <v>1</v>
      </c>
      <c r="J10" s="24" t="s">
        <v>88</v>
      </c>
      <c r="K10" s="8" t="str">
        <f t="shared" si="0"/>
        <v/>
      </c>
    </row>
    <row r="11" spans="1:22" ht="15" customHeight="1" x14ac:dyDescent="0.35">
      <c r="A11" s="4">
        <v>2010</v>
      </c>
      <c r="B11" s="5" t="s">
        <v>41</v>
      </c>
      <c r="C11" s="6"/>
      <c r="D11" s="6" t="s">
        <v>34</v>
      </c>
      <c r="E11" s="6" t="s">
        <v>19</v>
      </c>
      <c r="F11" s="6" t="s">
        <v>57</v>
      </c>
      <c r="G11" s="17" t="s">
        <v>29</v>
      </c>
      <c r="H11" s="25" t="s">
        <v>88</v>
      </c>
      <c r="I11" s="7">
        <v>1</v>
      </c>
      <c r="J11" s="24" t="s">
        <v>88</v>
      </c>
      <c r="K11" s="8" t="str">
        <f t="shared" si="0"/>
        <v/>
      </c>
    </row>
    <row r="12" spans="1:22" ht="15" customHeight="1" x14ac:dyDescent="0.35">
      <c r="A12" s="4">
        <v>2011</v>
      </c>
      <c r="B12" s="5" t="s">
        <v>42</v>
      </c>
      <c r="C12" s="6"/>
      <c r="D12" s="6" t="s">
        <v>34</v>
      </c>
      <c r="E12" s="6" t="s">
        <v>19</v>
      </c>
      <c r="F12" s="6" t="s">
        <v>57</v>
      </c>
      <c r="G12" s="17" t="s">
        <v>29</v>
      </c>
      <c r="H12" s="25" t="s">
        <v>88</v>
      </c>
      <c r="I12" s="7">
        <v>1</v>
      </c>
      <c r="J12" s="24" t="s">
        <v>88</v>
      </c>
      <c r="K12" s="8" t="str">
        <f t="shared" si="0"/>
        <v/>
      </c>
    </row>
    <row r="13" spans="1:22" ht="15" customHeight="1" x14ac:dyDescent="0.35">
      <c r="A13" s="4">
        <v>2012</v>
      </c>
      <c r="B13" s="5" t="s">
        <v>43</v>
      </c>
      <c r="C13" s="6"/>
      <c r="D13" s="6" t="s">
        <v>34</v>
      </c>
      <c r="E13" s="6" t="s">
        <v>19</v>
      </c>
      <c r="F13" s="6" t="s">
        <v>57</v>
      </c>
      <c r="G13" s="17" t="s">
        <v>25</v>
      </c>
      <c r="H13" s="25" t="s">
        <v>88</v>
      </c>
      <c r="I13" s="7">
        <v>1</v>
      </c>
      <c r="J13" s="24" t="s">
        <v>88</v>
      </c>
      <c r="K13" s="8" t="str">
        <f t="shared" si="0"/>
        <v/>
      </c>
    </row>
    <row r="14" spans="1:22" ht="15" customHeight="1" x14ac:dyDescent="0.35">
      <c r="A14" s="4">
        <v>2012</v>
      </c>
      <c r="B14" s="5" t="s">
        <v>76</v>
      </c>
      <c r="C14" s="20" t="s">
        <v>6</v>
      </c>
      <c r="D14" s="6" t="s">
        <v>34</v>
      </c>
      <c r="E14" s="6" t="s">
        <v>19</v>
      </c>
      <c r="F14" s="6" t="s">
        <v>57</v>
      </c>
      <c r="G14" s="17" t="s">
        <v>28</v>
      </c>
      <c r="H14" s="25" t="s">
        <v>88</v>
      </c>
      <c r="I14" s="7">
        <v>1</v>
      </c>
      <c r="J14" s="24" t="s">
        <v>88</v>
      </c>
      <c r="K14" s="8" t="str">
        <f t="shared" si="0"/>
        <v/>
      </c>
    </row>
    <row r="15" spans="1:22" ht="15" customHeight="1" x14ac:dyDescent="0.35">
      <c r="A15" s="4">
        <v>2013</v>
      </c>
      <c r="B15" s="5" t="s">
        <v>44</v>
      </c>
      <c r="C15" s="6"/>
      <c r="D15" s="6" t="s">
        <v>34</v>
      </c>
      <c r="E15" s="6" t="s">
        <v>19</v>
      </c>
      <c r="F15" s="6" t="s">
        <v>57</v>
      </c>
      <c r="G15" s="17" t="s">
        <v>24</v>
      </c>
      <c r="H15" s="25" t="s">
        <v>88</v>
      </c>
      <c r="I15" s="7">
        <v>1</v>
      </c>
      <c r="J15" s="24" t="s">
        <v>88</v>
      </c>
      <c r="K15" s="8" t="str">
        <f t="shared" si="0"/>
        <v/>
      </c>
      <c r="U15" s="22"/>
      <c r="V15" s="22"/>
    </row>
    <row r="16" spans="1:22" ht="15" customHeight="1" x14ac:dyDescent="0.35">
      <c r="A16" s="4">
        <v>2013</v>
      </c>
      <c r="B16" s="5" t="s">
        <v>45</v>
      </c>
      <c r="C16" s="6"/>
      <c r="D16" s="6" t="s">
        <v>34</v>
      </c>
      <c r="E16" s="6" t="s">
        <v>19</v>
      </c>
      <c r="F16" s="6" t="s">
        <v>57</v>
      </c>
      <c r="G16" s="17" t="s">
        <v>28</v>
      </c>
      <c r="H16" s="25" t="s">
        <v>88</v>
      </c>
      <c r="I16" s="7">
        <v>1</v>
      </c>
      <c r="J16" s="24" t="s">
        <v>88</v>
      </c>
      <c r="K16" s="8" t="str">
        <f t="shared" si="0"/>
        <v/>
      </c>
    </row>
    <row r="17" spans="1:22" ht="15" customHeight="1" x14ac:dyDescent="0.35">
      <c r="A17" s="4">
        <v>2014</v>
      </c>
      <c r="B17" s="5" t="s">
        <v>46</v>
      </c>
      <c r="C17" s="6"/>
      <c r="D17" s="6" t="s">
        <v>34</v>
      </c>
      <c r="E17" s="6" t="s">
        <v>19</v>
      </c>
      <c r="F17" s="6" t="s">
        <v>57</v>
      </c>
      <c r="G17" s="17" t="s">
        <v>28</v>
      </c>
      <c r="H17" s="25" t="s">
        <v>88</v>
      </c>
      <c r="I17" s="7">
        <v>1</v>
      </c>
      <c r="J17" s="24" t="s">
        <v>88</v>
      </c>
      <c r="K17" s="8" t="str">
        <f t="shared" si="0"/>
        <v/>
      </c>
    </row>
    <row r="18" spans="1:22" ht="15" customHeight="1" x14ac:dyDescent="0.35">
      <c r="A18" s="4">
        <v>2014</v>
      </c>
      <c r="B18" s="5" t="s">
        <v>47</v>
      </c>
      <c r="C18" s="6"/>
      <c r="D18" s="6" t="s">
        <v>34</v>
      </c>
      <c r="E18" s="6" t="s">
        <v>19</v>
      </c>
      <c r="F18" s="6" t="s">
        <v>57</v>
      </c>
      <c r="G18" s="17" t="s">
        <v>24</v>
      </c>
      <c r="H18" s="25" t="s">
        <v>88</v>
      </c>
      <c r="I18" s="7">
        <v>1</v>
      </c>
      <c r="J18" s="24" t="s">
        <v>88</v>
      </c>
      <c r="K18" s="8" t="str">
        <f t="shared" si="0"/>
        <v/>
      </c>
    </row>
    <row r="19" spans="1:22" ht="15" customHeight="1" x14ac:dyDescent="0.35">
      <c r="A19" s="4">
        <v>2015</v>
      </c>
      <c r="B19" s="5" t="s">
        <v>48</v>
      </c>
      <c r="C19" s="6"/>
      <c r="D19" s="6" t="s">
        <v>34</v>
      </c>
      <c r="E19" s="6" t="s">
        <v>19</v>
      </c>
      <c r="F19" s="6" t="s">
        <v>57</v>
      </c>
      <c r="G19" s="17" t="s">
        <v>24</v>
      </c>
      <c r="H19" s="25" t="s">
        <v>88</v>
      </c>
      <c r="I19" s="7">
        <v>1</v>
      </c>
      <c r="J19" s="24" t="s">
        <v>88</v>
      </c>
      <c r="K19" s="8" t="str">
        <f t="shared" si="0"/>
        <v/>
      </c>
    </row>
    <row r="20" spans="1:22" ht="15" customHeight="1" x14ac:dyDescent="0.35">
      <c r="A20" s="4">
        <v>2015</v>
      </c>
      <c r="B20" s="5" t="s">
        <v>49</v>
      </c>
      <c r="C20" s="6"/>
      <c r="D20" s="6" t="s">
        <v>34</v>
      </c>
      <c r="E20" s="6" t="s">
        <v>19</v>
      </c>
      <c r="F20" s="6" t="s">
        <v>57</v>
      </c>
      <c r="G20" s="17" t="s">
        <v>23</v>
      </c>
      <c r="H20" s="25" t="s">
        <v>88</v>
      </c>
      <c r="I20" s="7">
        <v>1</v>
      </c>
      <c r="J20" s="24" t="s">
        <v>88</v>
      </c>
      <c r="K20" s="8" t="str">
        <f t="shared" si="0"/>
        <v/>
      </c>
    </row>
    <row r="21" spans="1:22" ht="15" customHeight="1" x14ac:dyDescent="0.35">
      <c r="A21" s="4">
        <v>2015</v>
      </c>
      <c r="B21" s="5" t="s">
        <v>77</v>
      </c>
      <c r="C21" s="20" t="s">
        <v>78</v>
      </c>
      <c r="D21" s="6" t="s">
        <v>34</v>
      </c>
      <c r="E21" s="6" t="s">
        <v>19</v>
      </c>
      <c r="F21" s="6" t="s">
        <v>57</v>
      </c>
      <c r="G21" s="17" t="s">
        <v>23</v>
      </c>
      <c r="H21" s="25" t="s">
        <v>88</v>
      </c>
      <c r="I21" s="7">
        <v>1</v>
      </c>
      <c r="J21" s="24" t="s">
        <v>88</v>
      </c>
      <c r="K21" s="8" t="str">
        <f t="shared" si="0"/>
        <v/>
      </c>
    </row>
    <row r="22" spans="1:22" ht="15" customHeight="1" x14ac:dyDescent="0.35">
      <c r="A22" s="4">
        <v>2016</v>
      </c>
      <c r="B22" s="5" t="s">
        <v>50</v>
      </c>
      <c r="C22" s="6"/>
      <c r="D22" s="6" t="s">
        <v>34</v>
      </c>
      <c r="E22" s="6" t="s">
        <v>19</v>
      </c>
      <c r="F22" s="6" t="s">
        <v>57</v>
      </c>
      <c r="G22" s="17" t="s">
        <v>24</v>
      </c>
      <c r="H22" s="25" t="s">
        <v>88</v>
      </c>
      <c r="I22" s="7">
        <v>1</v>
      </c>
      <c r="J22" s="24" t="s">
        <v>88</v>
      </c>
      <c r="K22" s="8" t="str">
        <f t="shared" si="0"/>
        <v/>
      </c>
    </row>
    <row r="23" spans="1:22" ht="15" customHeight="1" x14ac:dyDescent="0.35">
      <c r="A23" s="4">
        <v>2016</v>
      </c>
      <c r="B23" s="5" t="s">
        <v>51</v>
      </c>
      <c r="C23" s="6"/>
      <c r="D23" s="6" t="s">
        <v>34</v>
      </c>
      <c r="E23" s="6" t="s">
        <v>19</v>
      </c>
      <c r="F23" s="6" t="s">
        <v>57</v>
      </c>
      <c r="G23" s="17" t="s">
        <v>24</v>
      </c>
      <c r="H23" s="25" t="s">
        <v>88</v>
      </c>
      <c r="I23" s="7">
        <v>1</v>
      </c>
      <c r="J23" s="24" t="s">
        <v>88</v>
      </c>
      <c r="K23" s="8" t="str">
        <f t="shared" si="0"/>
        <v/>
      </c>
      <c r="T23" s="22"/>
      <c r="U23" s="22"/>
    </row>
    <row r="24" spans="1:22" ht="15" customHeight="1" x14ac:dyDescent="0.35">
      <c r="A24" s="4">
        <v>2017</v>
      </c>
      <c r="B24" s="5" t="s">
        <v>52</v>
      </c>
      <c r="C24" s="6"/>
      <c r="D24" s="6" t="s">
        <v>34</v>
      </c>
      <c r="E24" s="6" t="s">
        <v>19</v>
      </c>
      <c r="F24" s="6" t="s">
        <v>57</v>
      </c>
      <c r="G24" s="17" t="s">
        <v>26</v>
      </c>
      <c r="H24" s="25" t="s">
        <v>88</v>
      </c>
      <c r="I24" s="7">
        <v>1</v>
      </c>
      <c r="J24" s="24" t="s">
        <v>88</v>
      </c>
      <c r="K24" s="8" t="str">
        <f t="shared" si="0"/>
        <v/>
      </c>
    </row>
    <row r="25" spans="1:22" ht="15" customHeight="1" x14ac:dyDescent="0.35">
      <c r="A25" s="4">
        <v>2017</v>
      </c>
      <c r="B25" s="5" t="s">
        <v>53</v>
      </c>
      <c r="C25" s="6"/>
      <c r="D25" s="6" t="s">
        <v>34</v>
      </c>
      <c r="E25" s="6" t="s">
        <v>19</v>
      </c>
      <c r="F25" s="6" t="s">
        <v>57</v>
      </c>
      <c r="G25" s="17" t="s">
        <v>23</v>
      </c>
      <c r="H25" s="25" t="s">
        <v>88</v>
      </c>
      <c r="I25" s="7">
        <v>1</v>
      </c>
      <c r="J25" s="24" t="s">
        <v>88</v>
      </c>
      <c r="K25" s="8" t="str">
        <f t="shared" si="0"/>
        <v/>
      </c>
    </row>
    <row r="26" spans="1:22" ht="15" customHeight="1" x14ac:dyDescent="0.35">
      <c r="A26" s="4">
        <v>2018</v>
      </c>
      <c r="B26" s="5" t="s">
        <v>54</v>
      </c>
      <c r="C26" s="6"/>
      <c r="D26" s="6" t="s">
        <v>34</v>
      </c>
      <c r="E26" s="6" t="s">
        <v>19</v>
      </c>
      <c r="F26" s="6" t="s">
        <v>57</v>
      </c>
      <c r="G26" s="17" t="s">
        <v>24</v>
      </c>
      <c r="H26" s="25" t="s">
        <v>88</v>
      </c>
      <c r="I26" s="7">
        <v>1</v>
      </c>
      <c r="J26" s="24" t="s">
        <v>88</v>
      </c>
      <c r="K26" s="8" t="str">
        <f t="shared" si="0"/>
        <v/>
      </c>
    </row>
    <row r="27" spans="1:22" ht="15" customHeight="1" x14ac:dyDescent="0.35">
      <c r="A27" s="4">
        <v>2018</v>
      </c>
      <c r="B27" s="5" t="s">
        <v>55</v>
      </c>
      <c r="C27" s="6"/>
      <c r="D27" s="6" t="s">
        <v>34</v>
      </c>
      <c r="E27" s="6" t="s">
        <v>19</v>
      </c>
      <c r="F27" s="6" t="s">
        <v>57</v>
      </c>
      <c r="G27" s="17" t="s">
        <v>24</v>
      </c>
      <c r="H27" s="25" t="s">
        <v>88</v>
      </c>
      <c r="I27" s="18">
        <v>1</v>
      </c>
      <c r="J27" s="24" t="s">
        <v>88</v>
      </c>
      <c r="K27" s="8" t="str">
        <f t="shared" si="0"/>
        <v/>
      </c>
    </row>
    <row r="28" spans="1:22" ht="15" customHeight="1" x14ac:dyDescent="0.35">
      <c r="A28" s="4">
        <v>2019</v>
      </c>
      <c r="B28" s="5" t="s">
        <v>56</v>
      </c>
      <c r="C28" s="6"/>
      <c r="D28" s="6" t="s">
        <v>34</v>
      </c>
      <c r="E28" s="6" t="s">
        <v>19</v>
      </c>
      <c r="F28" s="6" t="s">
        <v>57</v>
      </c>
      <c r="G28" s="17" t="s">
        <v>23</v>
      </c>
      <c r="H28" s="25" t="s">
        <v>88</v>
      </c>
      <c r="I28" s="7">
        <v>1</v>
      </c>
      <c r="J28" s="24" t="s">
        <v>88</v>
      </c>
      <c r="K28" s="8" t="str">
        <f t="shared" si="0"/>
        <v/>
      </c>
    </row>
    <row r="29" spans="1:22" ht="15" customHeight="1" x14ac:dyDescent="0.35">
      <c r="A29" s="4">
        <v>2020</v>
      </c>
      <c r="B29" s="5" t="s">
        <v>60</v>
      </c>
      <c r="C29" s="6"/>
      <c r="D29" s="6" t="s">
        <v>34</v>
      </c>
      <c r="E29" s="6" t="s">
        <v>19</v>
      </c>
      <c r="F29" s="6" t="s">
        <v>57</v>
      </c>
      <c r="G29" s="17" t="s">
        <v>58</v>
      </c>
      <c r="H29" s="25" t="s">
        <v>88</v>
      </c>
      <c r="I29" s="7">
        <v>1</v>
      </c>
      <c r="J29" s="24" t="s">
        <v>88</v>
      </c>
      <c r="K29" s="8" t="str">
        <f t="shared" si="0"/>
        <v/>
      </c>
    </row>
    <row r="30" spans="1:22" ht="15" customHeight="1" x14ac:dyDescent="0.35">
      <c r="A30" s="4">
        <v>2020</v>
      </c>
      <c r="B30" s="5" t="s">
        <v>61</v>
      </c>
      <c r="C30" s="6"/>
      <c r="D30" s="6" t="s">
        <v>34</v>
      </c>
      <c r="E30" s="6" t="s">
        <v>19</v>
      </c>
      <c r="F30" s="6" t="s">
        <v>57</v>
      </c>
      <c r="G30" s="17" t="s">
        <v>59</v>
      </c>
      <c r="H30" s="25" t="s">
        <v>88</v>
      </c>
      <c r="I30" s="7">
        <v>1</v>
      </c>
      <c r="J30" s="24" t="s">
        <v>88</v>
      </c>
      <c r="K30" s="8" t="str">
        <f t="shared" si="0"/>
        <v/>
      </c>
    </row>
    <row r="31" spans="1:22" ht="15" customHeight="1" x14ac:dyDescent="0.35">
      <c r="A31" s="4">
        <v>2021</v>
      </c>
      <c r="B31" s="5" t="s">
        <v>62</v>
      </c>
      <c r="C31" s="6"/>
      <c r="D31" s="6" t="s">
        <v>34</v>
      </c>
      <c r="E31" s="6" t="s">
        <v>19</v>
      </c>
      <c r="F31" s="6" t="s">
        <v>57</v>
      </c>
      <c r="G31" s="17" t="s">
        <v>69</v>
      </c>
      <c r="H31" s="25" t="s">
        <v>88</v>
      </c>
      <c r="I31" s="7">
        <v>1</v>
      </c>
      <c r="J31" s="24" t="s">
        <v>88</v>
      </c>
      <c r="K31" s="8" t="str">
        <f t="shared" si="0"/>
        <v/>
      </c>
      <c r="U31" s="22"/>
      <c r="V31" s="22"/>
    </row>
    <row r="32" spans="1:22" ht="15" customHeight="1" x14ac:dyDescent="0.35">
      <c r="A32" s="4">
        <v>2021</v>
      </c>
      <c r="B32" s="5" t="s">
        <v>63</v>
      </c>
      <c r="C32" s="6"/>
      <c r="D32" s="6" t="s">
        <v>34</v>
      </c>
      <c r="E32" s="6" t="s">
        <v>19</v>
      </c>
      <c r="F32" s="6" t="s">
        <v>57</v>
      </c>
      <c r="G32" s="17" t="s">
        <v>69</v>
      </c>
      <c r="H32" s="25" t="s">
        <v>88</v>
      </c>
      <c r="I32" s="7">
        <v>1</v>
      </c>
      <c r="J32" s="24" t="s">
        <v>88</v>
      </c>
      <c r="K32" s="8" t="str">
        <f t="shared" si="0"/>
        <v/>
      </c>
    </row>
    <row r="33" spans="1:22" ht="15" customHeight="1" x14ac:dyDescent="0.35">
      <c r="A33" s="4">
        <v>2022</v>
      </c>
      <c r="B33" s="5" t="s">
        <v>64</v>
      </c>
      <c r="C33" s="6"/>
      <c r="D33" s="6" t="s">
        <v>34</v>
      </c>
      <c r="E33" s="6" t="s">
        <v>19</v>
      </c>
      <c r="F33" s="6" t="s">
        <v>57</v>
      </c>
      <c r="G33" s="17" t="s">
        <v>70</v>
      </c>
      <c r="H33" s="25" t="s">
        <v>88</v>
      </c>
      <c r="I33" s="7">
        <v>1</v>
      </c>
      <c r="J33" s="24" t="s">
        <v>88</v>
      </c>
      <c r="K33" s="8" t="str">
        <f t="shared" si="0"/>
        <v/>
      </c>
    </row>
    <row r="34" spans="1:22" ht="15" customHeight="1" x14ac:dyDescent="0.35">
      <c r="A34" s="4">
        <v>2022</v>
      </c>
      <c r="B34" s="5" t="s">
        <v>65</v>
      </c>
      <c r="C34" s="20" t="s">
        <v>79</v>
      </c>
      <c r="D34" s="6" t="s">
        <v>34</v>
      </c>
      <c r="E34" s="6" t="s">
        <v>19</v>
      </c>
      <c r="F34" s="6" t="s">
        <v>57</v>
      </c>
      <c r="G34" s="17" t="s">
        <v>70</v>
      </c>
      <c r="H34" s="25" t="s">
        <v>88</v>
      </c>
      <c r="I34" s="7">
        <v>1</v>
      </c>
      <c r="J34" s="24" t="s">
        <v>88</v>
      </c>
      <c r="K34" s="8" t="str">
        <f t="shared" si="0"/>
        <v/>
      </c>
    </row>
    <row r="35" spans="1:22" ht="15" customHeight="1" x14ac:dyDescent="0.35">
      <c r="A35" s="4">
        <v>2022</v>
      </c>
      <c r="B35" s="5" t="s">
        <v>66</v>
      </c>
      <c r="C35" s="6"/>
      <c r="D35" s="6" t="s">
        <v>34</v>
      </c>
      <c r="E35" s="6" t="s">
        <v>19</v>
      </c>
      <c r="F35" s="6" t="s">
        <v>57</v>
      </c>
      <c r="G35" s="17" t="s">
        <v>70</v>
      </c>
      <c r="H35" s="25" t="s">
        <v>88</v>
      </c>
      <c r="I35" s="7">
        <v>1</v>
      </c>
      <c r="J35" s="24" t="s">
        <v>88</v>
      </c>
      <c r="K35" s="8" t="str">
        <f t="shared" si="0"/>
        <v/>
      </c>
    </row>
    <row r="36" spans="1:22" ht="15" customHeight="1" x14ac:dyDescent="0.35">
      <c r="A36" s="4">
        <v>2023</v>
      </c>
      <c r="B36" s="5" t="s">
        <v>67</v>
      </c>
      <c r="C36" s="6"/>
      <c r="D36" s="6" t="s">
        <v>34</v>
      </c>
      <c r="E36" s="6" t="s">
        <v>19</v>
      </c>
      <c r="F36" s="6" t="s">
        <v>57</v>
      </c>
      <c r="G36" s="17" t="s">
        <v>70</v>
      </c>
      <c r="H36" s="25" t="s">
        <v>88</v>
      </c>
      <c r="I36" s="7">
        <v>1</v>
      </c>
      <c r="J36" s="24" t="s">
        <v>88</v>
      </c>
      <c r="K36" s="8" t="str">
        <f t="shared" si="0"/>
        <v/>
      </c>
    </row>
    <row r="37" spans="1:22" ht="15" customHeight="1" x14ac:dyDescent="0.35">
      <c r="A37" s="4">
        <v>2023</v>
      </c>
      <c r="B37" s="5" t="s">
        <v>68</v>
      </c>
      <c r="C37" s="6"/>
      <c r="D37" s="6" t="s">
        <v>34</v>
      </c>
      <c r="E37" s="6" t="s">
        <v>19</v>
      </c>
      <c r="F37" s="6" t="s">
        <v>57</v>
      </c>
      <c r="G37" s="17" t="s">
        <v>70</v>
      </c>
      <c r="H37" s="25" t="s">
        <v>88</v>
      </c>
      <c r="I37" s="7">
        <v>1</v>
      </c>
      <c r="J37" s="24" t="s">
        <v>88</v>
      </c>
      <c r="K37" s="8" t="str">
        <f t="shared" si="0"/>
        <v/>
      </c>
    </row>
    <row r="38" spans="1:22" ht="15" customHeight="1" x14ac:dyDescent="0.35">
      <c r="A38" s="4">
        <v>2024</v>
      </c>
      <c r="B38" s="5" t="s">
        <v>80</v>
      </c>
      <c r="C38" s="6"/>
      <c r="D38" s="6" t="s">
        <v>34</v>
      </c>
      <c r="E38" s="6" t="s">
        <v>19</v>
      </c>
      <c r="F38" s="6" t="s">
        <v>57</v>
      </c>
      <c r="G38" s="17" t="s">
        <v>70</v>
      </c>
      <c r="H38" s="25" t="s">
        <v>88</v>
      </c>
      <c r="I38" s="7">
        <v>1</v>
      </c>
      <c r="J38" s="24" t="s">
        <v>88</v>
      </c>
      <c r="K38" s="8" t="str">
        <f t="shared" si="0"/>
        <v/>
      </c>
    </row>
    <row r="39" spans="1:22" ht="15" customHeight="1" x14ac:dyDescent="0.35">
      <c r="A39" s="4">
        <v>2024</v>
      </c>
      <c r="B39" s="5" t="s">
        <v>81</v>
      </c>
      <c r="C39" s="6"/>
      <c r="D39" s="6" t="s">
        <v>34</v>
      </c>
      <c r="E39" s="6" t="s">
        <v>19</v>
      </c>
      <c r="F39" s="6" t="s">
        <v>57</v>
      </c>
      <c r="G39" s="17" t="s">
        <v>70</v>
      </c>
      <c r="H39" s="25" t="s">
        <v>88</v>
      </c>
      <c r="I39" s="7">
        <v>1</v>
      </c>
      <c r="J39" s="24" t="s">
        <v>88</v>
      </c>
      <c r="K39" s="8" t="str">
        <f t="shared" si="0"/>
        <v/>
      </c>
    </row>
    <row r="40" spans="1:22" ht="15" customHeight="1" x14ac:dyDescent="0.35">
      <c r="A40" s="4">
        <v>2025</v>
      </c>
      <c r="B40" s="5" t="s">
        <v>84</v>
      </c>
      <c r="C40" s="6"/>
      <c r="D40" s="6" t="s">
        <v>85</v>
      </c>
      <c r="E40" s="6" t="s">
        <v>19</v>
      </c>
      <c r="F40" s="6" t="s">
        <v>57</v>
      </c>
      <c r="G40" s="25" t="s">
        <v>88</v>
      </c>
      <c r="H40" s="17" t="s">
        <v>86</v>
      </c>
      <c r="I40" s="24" t="s">
        <v>88</v>
      </c>
      <c r="J40" s="7">
        <v>1</v>
      </c>
      <c r="K40" s="8" t="str">
        <f t="shared" si="0"/>
        <v/>
      </c>
      <c r="U40" s="22"/>
      <c r="V40" s="22"/>
    </row>
    <row r="41" spans="1:22" ht="15" customHeight="1" x14ac:dyDescent="0.35">
      <c r="A41" s="4">
        <v>2025</v>
      </c>
      <c r="B41" s="5" t="s">
        <v>89</v>
      </c>
      <c r="C41" s="6"/>
      <c r="D41" s="6" t="s">
        <v>85</v>
      </c>
      <c r="E41" s="6" t="s">
        <v>19</v>
      </c>
      <c r="F41" s="6" t="s">
        <v>57</v>
      </c>
      <c r="G41" s="25" t="s">
        <v>88</v>
      </c>
      <c r="H41" s="17" t="s">
        <v>86</v>
      </c>
      <c r="I41" s="24" t="s">
        <v>88</v>
      </c>
      <c r="J41" s="7">
        <v>1</v>
      </c>
      <c r="K41" s="8" t="str">
        <f t="shared" si="0"/>
        <v/>
      </c>
    </row>
  </sheetData>
  <autoFilter ref="B2:F2" xr:uid="{00000000-0001-0000-0000-000000000000}"/>
  <mergeCells count="4">
    <mergeCell ref="A1:A2"/>
    <mergeCell ref="C1:F1"/>
    <mergeCell ref="I1:J1"/>
    <mergeCell ref="G1:H1"/>
  </mergeCells>
  <conditionalFormatting sqref="I3 I5 I7 I9 I11 I13 I15 I17 I19 I21 I23 I25">
    <cfRule type="containsText" dxfId="22" priority="55" operator="containsText" text="*-">
      <formula>NOT(ISERROR(SEARCH(("*-"),(I3))))</formula>
    </cfRule>
  </conditionalFormatting>
  <conditionalFormatting sqref="I5 I3 I7 I9 I11 I13 I15 I17 I19 I21 I23 I25">
    <cfRule type="colorScale" priority="5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4 I6 I8 I10 I12 I14 I16 I18 I20 I22 I24 I26">
    <cfRule type="containsText" dxfId="21" priority="47" operator="containsText" text="*-">
      <formula>NOT(ISERROR(SEARCH(("*-"),(I4))))</formula>
    </cfRule>
  </conditionalFormatting>
  <conditionalFormatting sqref="I6 I4 I8 I10 I12 I14 I16 I18 I20 I22 I24 I26">
    <cfRule type="colorScale" priority="4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27">
    <cfRule type="containsText" dxfId="20" priority="45" operator="containsText" text="*-">
      <formula>NOT(ISERROR(SEARCH(("*-"),(I27))))</formula>
    </cfRule>
  </conditionalFormatting>
  <conditionalFormatting sqref="I27">
    <cfRule type="colorScale" priority="4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28">
    <cfRule type="containsText" dxfId="19" priority="41" operator="containsText" text="*-">
      <formula>NOT(ISERROR(SEARCH(("*-"),(I28))))</formula>
    </cfRule>
  </conditionalFormatting>
  <conditionalFormatting sqref="I28">
    <cfRule type="colorScale" priority="4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29">
    <cfRule type="containsText" dxfId="18" priority="39" operator="containsText" text="*-">
      <formula>NOT(ISERROR(SEARCH(("*-"),(I29))))</formula>
    </cfRule>
  </conditionalFormatting>
  <conditionalFormatting sqref="I29">
    <cfRule type="colorScale" priority="4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30">
    <cfRule type="containsText" dxfId="17" priority="37" operator="containsText" text="*-">
      <formula>NOT(ISERROR(SEARCH(("*-"),(I30))))</formula>
    </cfRule>
  </conditionalFormatting>
  <conditionalFormatting sqref="I30">
    <cfRule type="colorScale" priority="3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31">
    <cfRule type="containsText" dxfId="16" priority="35" operator="containsText" text="*-">
      <formula>NOT(ISERROR(SEARCH(("*-"),(I31))))</formula>
    </cfRule>
  </conditionalFormatting>
  <conditionalFormatting sqref="I31">
    <cfRule type="colorScale" priority="3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32">
    <cfRule type="containsText" dxfId="15" priority="33" operator="containsText" text="*-">
      <formula>NOT(ISERROR(SEARCH(("*-"),(I32))))</formula>
    </cfRule>
  </conditionalFormatting>
  <conditionalFormatting sqref="I32">
    <cfRule type="colorScale" priority="3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33">
    <cfRule type="containsText" dxfId="14" priority="31" operator="containsText" text="*-">
      <formula>NOT(ISERROR(SEARCH(("*-"),(I33))))</formula>
    </cfRule>
  </conditionalFormatting>
  <conditionalFormatting sqref="I33">
    <cfRule type="colorScale" priority="3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37">
    <cfRule type="containsText" dxfId="13" priority="21" operator="containsText" text="*-">
      <formula>NOT(ISERROR(SEARCH(("*-"),(I37))))</formula>
    </cfRule>
  </conditionalFormatting>
  <conditionalFormatting sqref="I37">
    <cfRule type="colorScale" priority="2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34">
    <cfRule type="containsText" dxfId="12" priority="27" operator="containsText" text="*-">
      <formula>NOT(ISERROR(SEARCH(("*-"),(I34))))</formula>
    </cfRule>
  </conditionalFormatting>
  <conditionalFormatting sqref="I34">
    <cfRule type="colorScale" priority="2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35">
    <cfRule type="containsText" dxfId="11" priority="25" operator="containsText" text="*-">
      <formula>NOT(ISERROR(SEARCH(("*-"),(I35))))</formula>
    </cfRule>
  </conditionalFormatting>
  <conditionalFormatting sqref="I35">
    <cfRule type="colorScale" priority="2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36">
    <cfRule type="containsText" dxfId="10" priority="23" operator="containsText" text="*-">
      <formula>NOT(ISERROR(SEARCH(("*-"),(I36))))</formula>
    </cfRule>
  </conditionalFormatting>
  <conditionalFormatting sqref="I36">
    <cfRule type="colorScale" priority="2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38">
    <cfRule type="containsText" dxfId="9" priority="19" operator="containsText" text="*-">
      <formula>NOT(ISERROR(SEARCH(("*-"),(I38))))</formula>
    </cfRule>
  </conditionalFormatting>
  <conditionalFormatting sqref="I38">
    <cfRule type="colorScale" priority="2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39">
    <cfRule type="containsText" dxfId="8" priority="17" operator="containsText" text="*-">
      <formula>NOT(ISERROR(SEARCH(("*-"),(I39))))</formula>
    </cfRule>
  </conditionalFormatting>
  <conditionalFormatting sqref="I39">
    <cfRule type="colorScale" priority="1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40">
    <cfRule type="containsText" dxfId="7" priority="7" operator="containsText" text="*-">
      <formula>NOT(ISERROR(SEARCH(("*-"),(J40))))</formula>
    </cfRule>
  </conditionalFormatting>
  <conditionalFormatting sqref="J40">
    <cfRule type="colorScale" priority="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3:J39">
    <cfRule type="colorScale" priority="1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3:J39">
    <cfRule type="containsText" dxfId="6" priority="9" operator="containsText" text="*-">
      <formula>NOT(ISERROR(SEARCH(("*-"),(#REF!))))</formula>
    </cfRule>
  </conditionalFormatting>
  <conditionalFormatting sqref="I40">
    <cfRule type="colorScale" priority="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40">
    <cfRule type="containsText" dxfId="5" priority="5" operator="containsText" text="*-">
      <formula>NOT(ISERROR(SEARCH(("*-"),(#REF!))))</formula>
    </cfRule>
  </conditionalFormatting>
  <conditionalFormatting sqref="I41">
    <cfRule type="colorScale" priority="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41">
    <cfRule type="containsText" dxfId="4" priority="3" operator="containsText" text="*-">
      <formula>NOT(ISERROR(SEARCH(("*-"),(#REF!))))</formula>
    </cfRule>
  </conditionalFormatting>
  <conditionalFormatting sqref="J41">
    <cfRule type="containsText" dxfId="3" priority="1" operator="containsText" text="*-">
      <formula>NOT(ISERROR(SEARCH(("*-"),(J41))))</formula>
    </cfRule>
  </conditionalFormatting>
  <conditionalFormatting sqref="J41">
    <cfRule type="colorScale" priority="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7"/>
  <sheetViews>
    <sheetView workbookViewId="0">
      <selection activeCell="B5" sqref="B5"/>
    </sheetView>
  </sheetViews>
  <sheetFormatPr defaultRowHeight="15" customHeight="1" x14ac:dyDescent="0.35"/>
  <cols>
    <col min="1" max="1" width="4.81640625" customWidth="1"/>
    <col min="2" max="2" width="16.26953125" customWidth="1"/>
    <col min="3" max="3" width="61.81640625" customWidth="1"/>
  </cols>
  <sheetData>
    <row r="1" spans="1:3" ht="15" customHeight="1" x14ac:dyDescent="0.35">
      <c r="A1" s="13" t="s">
        <v>7</v>
      </c>
      <c r="B1" s="14" t="s">
        <v>11</v>
      </c>
      <c r="C1" s="15" t="s">
        <v>12</v>
      </c>
    </row>
    <row r="2" spans="1:3" ht="15" customHeight="1" x14ac:dyDescent="0.35">
      <c r="A2" s="10">
        <v>1</v>
      </c>
      <c r="B2" s="11" t="s">
        <v>8</v>
      </c>
      <c r="C2" s="12" t="s">
        <v>13</v>
      </c>
    </row>
    <row r="3" spans="1:3" ht="15" customHeight="1" x14ac:dyDescent="0.35">
      <c r="A3" s="10">
        <v>2</v>
      </c>
      <c r="B3" s="11" t="s">
        <v>9</v>
      </c>
      <c r="C3" s="12" t="s">
        <v>15</v>
      </c>
    </row>
    <row r="4" spans="1:3" ht="15" customHeight="1" x14ac:dyDescent="0.35">
      <c r="A4" s="10">
        <v>3</v>
      </c>
      <c r="B4" s="11" t="s">
        <v>10</v>
      </c>
      <c r="C4" s="12" t="s">
        <v>16</v>
      </c>
    </row>
    <row r="5" spans="1:3" ht="15" customHeight="1" x14ac:dyDescent="0.35">
      <c r="A5" s="10">
        <v>4</v>
      </c>
      <c r="B5" s="11" t="s">
        <v>14</v>
      </c>
      <c r="C5" s="12" t="s">
        <v>17</v>
      </c>
    </row>
    <row r="6" spans="1:3" ht="15" customHeight="1" x14ac:dyDescent="0.35">
      <c r="A6" s="10">
        <v>5</v>
      </c>
      <c r="B6" s="11" t="s">
        <v>20</v>
      </c>
      <c r="C6" s="16" t="s">
        <v>21</v>
      </c>
    </row>
    <row r="7" spans="1:3" ht="15" customHeight="1" x14ac:dyDescent="0.35">
      <c r="A7" s="10">
        <v>6</v>
      </c>
      <c r="B7" s="11" t="s">
        <v>20</v>
      </c>
      <c r="C7" s="16" t="s">
        <v>22</v>
      </c>
    </row>
  </sheetData>
  <hyperlinks>
    <hyperlink ref="B3" r:id="rId1" xr:uid="{00000000-0004-0000-0100-000000000000}"/>
    <hyperlink ref="B4" r:id="rId2" location="svodka" xr:uid="{00000000-0004-0000-0100-000001000000}"/>
    <hyperlink ref="B5" r:id="rId3" xr:uid="{00000000-0004-0000-0100-000002000000}"/>
    <hyperlink ref="B2" r:id="rId4" xr:uid="{00000000-0004-0000-0100-000003000000}"/>
    <hyperlink ref="B7" r:id="rId5" xr:uid="{00000000-0004-0000-0100-000004000000}"/>
    <hyperlink ref="B6" r:id="rId6" xr:uid="{00000000-0004-0000-0100-000005000000}"/>
  </hyperlinks>
  <pageMargins left="0.7" right="0.7" top="0.75" bottom="0.75" header="0.3" footer="0.3"/>
  <pageSetup paperSize="9" orientation="portrait" r:id="rId7"/>
  <tableParts count="1">
    <tablePart r:id="rId8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2€</vt:lpstr>
      <vt:lpstr>Links</vt:lpstr>
    </vt:vector>
  </TitlesOfParts>
  <Company>SPecialiST RePack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 Windows</dc:creator>
  <cp:lastModifiedBy>Алексей Илюшин</cp:lastModifiedBy>
  <dcterms:created xsi:type="dcterms:W3CDTF">2019-12-22T17:13:32Z</dcterms:created>
  <dcterms:modified xsi:type="dcterms:W3CDTF">2026-02-12T09:41:19Z</dcterms:modified>
</cp:coreProperties>
</file>