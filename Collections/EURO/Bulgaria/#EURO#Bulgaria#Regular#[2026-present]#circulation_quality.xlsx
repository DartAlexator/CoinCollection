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Lord_Alexator\Documents\CoinCollection\Collections\EURO\Bulgaria\"/>
    </mc:Choice>
  </mc:AlternateContent>
  <xr:revisionPtr revIDLastSave="0" documentId="13_ncr:1_{24443B21-5394-4565-88CD-8F7722CF10CC}" xr6:coauthVersionLast="47" xr6:coauthVersionMax="47" xr10:uidLastSave="{00000000-0000-0000-0000-000000000000}"/>
  <bookViews>
    <workbookView xWindow="-110" yWindow="-110" windowWidth="38620" windowHeight="21220" activeTab="5" xr2:uid="{00000000-000D-0000-FFFF-FFFF00000000}"/>
  </bookViews>
  <sheets>
    <sheet name="1cent" sheetId="4" r:id="rId1"/>
    <sheet name="2cents" sheetId="5" r:id="rId2"/>
    <sheet name="5cents" sheetId="7" r:id="rId3"/>
    <sheet name="10cents" sheetId="8" r:id="rId4"/>
    <sheet name="20cents" sheetId="9" r:id="rId5"/>
    <sheet name="50cents" sheetId="10" r:id="rId6"/>
    <sheet name="1€" sheetId="11" r:id="rId7"/>
    <sheet name="2€" sheetId="12" r:id="rId8"/>
    <sheet name="Links" sheetId="6" r:id="rId9"/>
  </sheets>
  <definedNames>
    <definedName name="_xlnm._FilterDatabase" localSheetId="6" hidden="1">'1€'!$B$2:$E$2</definedName>
    <definedName name="_xlnm._FilterDatabase" localSheetId="3" hidden="1">'10cents'!$B$2:$E$2</definedName>
    <definedName name="_xlnm._FilterDatabase" localSheetId="0" hidden="1">'1cent'!$B$2:$E$2</definedName>
    <definedName name="_xlnm._FilterDatabase" localSheetId="7" hidden="1">'2€'!$B$2:$E$2</definedName>
    <definedName name="_xlnm._FilterDatabase" localSheetId="4" hidden="1">'20cents'!$B$2:$E$2</definedName>
    <definedName name="_xlnm._FilterDatabase" localSheetId="1" hidden="1">'2cents'!$B$2:$E$2</definedName>
    <definedName name="_xlnm._FilterDatabase" localSheetId="5" hidden="1">'50cents'!$B$2:$E$2</definedName>
    <definedName name="_xlnm._FilterDatabase" localSheetId="2" hidden="1">'5cents'!$B$2:$E$2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3" i="12" l="1"/>
  <c r="G3" i="11"/>
  <c r="G3" i="10"/>
  <c r="G3" i="9"/>
  <c r="G3" i="8"/>
  <c r="G3" i="7"/>
  <c r="G3" i="5"/>
  <c r="G3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CC644976-0F72-4D0C-A4CD-FCF4223A2526}">
      <text>
        <r>
          <rPr>
            <b/>
            <sz val="9"/>
            <color indexed="81"/>
            <rFont val="Tahoma"/>
            <family val="2"/>
            <charset val="204"/>
          </rPr>
          <t>Българска народна банка
(Bulgarian mint(Sofia))</t>
        </r>
      </text>
    </comment>
    <comment ref="F2" authorId="0" shapeId="0" xr:uid="{0BC8284F-6651-4BA5-AFD1-4EAD0928AAD8}">
      <text>
        <r>
          <rPr>
            <b/>
            <sz val="9"/>
            <color indexed="81"/>
            <rFont val="Tahoma"/>
            <family val="2"/>
            <charset val="204"/>
          </rPr>
          <t>Българска народна банка
(Bulgarian mint(Sofia))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8E093931-7FF3-47D2-ABDE-BBCA0F43D625}">
      <text>
        <r>
          <rPr>
            <b/>
            <sz val="9"/>
            <color indexed="81"/>
            <rFont val="Tahoma"/>
            <family val="2"/>
            <charset val="204"/>
          </rPr>
          <t>Българска народна банка
(Bulgarian mint(Sofia))</t>
        </r>
      </text>
    </comment>
    <comment ref="F2" authorId="0" shapeId="0" xr:uid="{268FFFE6-028C-4EFC-88FE-D40C382BBEC2}">
      <text>
        <r>
          <rPr>
            <b/>
            <sz val="9"/>
            <color indexed="81"/>
            <rFont val="Tahoma"/>
            <family val="2"/>
            <charset val="204"/>
          </rPr>
          <t>Българска народна банка
(Bulgarian mint(Sofia))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1FDEBBEB-9318-4810-8C52-D731B408413C}">
      <text>
        <r>
          <rPr>
            <b/>
            <sz val="9"/>
            <color indexed="81"/>
            <rFont val="Tahoma"/>
            <family val="2"/>
            <charset val="204"/>
          </rPr>
          <t>Българска народна банка
(Bulgarian mint(Sofia))</t>
        </r>
      </text>
    </comment>
    <comment ref="F2" authorId="0" shapeId="0" xr:uid="{5685057A-5C11-4A46-81C2-950A25255093}">
      <text>
        <r>
          <rPr>
            <b/>
            <sz val="9"/>
            <color indexed="81"/>
            <rFont val="Tahoma"/>
            <family val="2"/>
            <charset val="204"/>
          </rPr>
          <t>Българска народна банка
(Bulgarian mint(Sofia))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708E0EBB-AEC6-4AB9-BDA6-6F2A37742CF5}">
      <text>
        <r>
          <rPr>
            <b/>
            <sz val="9"/>
            <color indexed="81"/>
            <rFont val="Tahoma"/>
            <family val="2"/>
            <charset val="204"/>
          </rPr>
          <t>Българска народна банка
(Bulgarian mint(Sofia))</t>
        </r>
      </text>
    </comment>
    <comment ref="F2" authorId="0" shapeId="0" xr:uid="{78699E85-C1D9-4FD0-811D-F1EB560F3F54}">
      <text>
        <r>
          <rPr>
            <b/>
            <sz val="9"/>
            <color indexed="81"/>
            <rFont val="Tahoma"/>
            <family val="2"/>
            <charset val="204"/>
          </rPr>
          <t>Българска народна банка
(Bulgarian mint(Sofia))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9DEA5E3B-0144-4397-9CF7-D3DC514D638A}">
      <text>
        <r>
          <rPr>
            <b/>
            <sz val="9"/>
            <color indexed="81"/>
            <rFont val="Tahoma"/>
            <family val="2"/>
            <charset val="204"/>
          </rPr>
          <t>Българска народна банка
(Bulgarian mint(Sofia))</t>
        </r>
      </text>
    </comment>
    <comment ref="F2" authorId="0" shapeId="0" xr:uid="{FCFB5998-43D9-44C1-BE04-E06DB01B1EDB}">
      <text>
        <r>
          <rPr>
            <b/>
            <sz val="9"/>
            <color indexed="81"/>
            <rFont val="Tahoma"/>
            <family val="2"/>
            <charset val="204"/>
          </rPr>
          <t>Българска народна банка
(Bulgarian mint(Sofia))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3AB9AB11-EAAB-4167-AA17-455ECF9AADCD}">
      <text>
        <r>
          <rPr>
            <b/>
            <sz val="9"/>
            <color indexed="81"/>
            <rFont val="Tahoma"/>
            <family val="2"/>
            <charset val="204"/>
          </rPr>
          <t>Българска народна банка
(Bulgarian mint(Sofia))</t>
        </r>
      </text>
    </comment>
    <comment ref="F2" authorId="0" shapeId="0" xr:uid="{6F289557-0955-4417-8401-349071A4079F}">
      <text>
        <r>
          <rPr>
            <b/>
            <sz val="9"/>
            <color indexed="81"/>
            <rFont val="Tahoma"/>
            <family val="2"/>
            <charset val="204"/>
          </rPr>
          <t>Българска народна банка
(Bulgarian mint(Sofia))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E3A6C6DE-6F30-4B54-B63A-71013DFF59A1}">
      <text>
        <r>
          <rPr>
            <b/>
            <sz val="9"/>
            <color indexed="81"/>
            <rFont val="Tahoma"/>
            <family val="2"/>
            <charset val="204"/>
          </rPr>
          <t>Българска народна банка
(Bulgarian mint(Sofia))</t>
        </r>
      </text>
    </comment>
    <comment ref="F2" authorId="0" shapeId="0" xr:uid="{0CF33078-EB6F-463B-9FE3-28D4FB59C072}">
      <text>
        <r>
          <rPr>
            <b/>
            <sz val="9"/>
            <color indexed="81"/>
            <rFont val="Tahoma"/>
            <family val="2"/>
            <charset val="204"/>
          </rPr>
          <t>Българска народна банка
(Bulgarian mint(Sofia))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170E0607-FF74-4FA4-B5D5-244DA76FDE90}">
      <text>
        <r>
          <rPr>
            <b/>
            <sz val="9"/>
            <color indexed="81"/>
            <rFont val="Tahoma"/>
            <family val="2"/>
            <charset val="204"/>
          </rPr>
          <t>Българска народна банка
(Bulgarian mint(Sofia))</t>
        </r>
      </text>
    </comment>
    <comment ref="F2" authorId="0" shapeId="0" xr:uid="{0DE2311A-3A73-4D4C-BE15-957B046D1734}">
      <text>
        <r>
          <rPr>
            <b/>
            <sz val="9"/>
            <color indexed="81"/>
            <rFont val="Tahoma"/>
            <family val="2"/>
            <charset val="204"/>
          </rPr>
          <t>Българска народна банка
(Bulgarian mint(Sofia))</t>
        </r>
      </text>
    </comment>
  </commentList>
</comments>
</file>

<file path=xl/sharedStrings.xml><?xml version="1.0" encoding="utf-8"?>
<sst xmlns="http://schemas.openxmlformats.org/spreadsheetml/2006/main" count="108" uniqueCount="35">
  <si>
    <t>Year</t>
  </si>
  <si>
    <t>Type</t>
  </si>
  <si>
    <t>Mintage</t>
  </si>
  <si>
    <t>1cent</t>
  </si>
  <si>
    <t>2cents</t>
  </si>
  <si>
    <t>5cents</t>
  </si>
  <si>
    <t>10cents</t>
  </si>
  <si>
    <t>20cents</t>
  </si>
  <si>
    <t>50cents</t>
  </si>
  <si>
    <t>1€</t>
  </si>
  <si>
    <t>2€</t>
  </si>
  <si>
    <t>№</t>
  </si>
  <si>
    <t>Link</t>
  </si>
  <si>
    <t>Description (single table, table set, mintage, prices):</t>
  </si>
  <si>
    <t>en.ucoin.net</t>
  </si>
  <si>
    <t>Middle convenience set of table with mintages and varieties</t>
  </si>
  <si>
    <t>Middle convenience single table with mintages</t>
  </si>
  <si>
    <t>euro-coins</t>
  </si>
  <si>
    <t>euro-coins.info</t>
  </si>
  <si>
    <t>Low convenience table of varities</t>
  </si>
  <si>
    <t>img-fotki.yandex</t>
  </si>
  <si>
    <t>Photo of coins</t>
  </si>
  <si>
    <t>eurocollection</t>
  </si>
  <si>
    <t>High convenience single table of varieties with photos</t>
  </si>
  <si>
    <t>High convenience set of tables table of actual coins with photos</t>
  </si>
  <si>
    <t>Rev: new map of Europe</t>
  </si>
  <si>
    <t>Subject</t>
  </si>
  <si>
    <t>Subtype_1#Special_marks_1</t>
  </si>
  <si>
    <t>Subtype_2#Special_distinctions_1</t>
  </si>
  <si>
    <t>Subtype_2#Map_of_Europe</t>
  </si>
  <si>
    <t>BNB</t>
  </si>
  <si>
    <t>Obv: Without mint symbol</t>
  </si>
  <si>
    <t>Obv: The Madara Horseman</t>
  </si>
  <si>
    <t>Obv: Saint Ivan of Rila</t>
  </si>
  <si>
    <t>Obv: Paisius of Hilendar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</si>
</sst>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\ [$€-1];[Red]\-#,##0\ [$€-1]"/>
  </numFmts>
  <fonts count="9" x14ac:knownFonts="1">
    <font>
      <sz val="11"/>
      <color rgb="FF000000"/>
      <name val="Calibri"/>
    </font>
    <font>
      <sz val="11"/>
      <color rgb="FF000000"/>
      <name val="Calibri"/>
      <family val="2"/>
      <charset val="204"/>
    </font>
    <font>
      <b/>
      <sz val="9"/>
      <color indexed="81"/>
      <name val="Tahoma"/>
      <family val="2"/>
      <charset val="204"/>
    </font>
    <font>
      <sz val="11"/>
      <name val="Calibri"/>
      <family val="2"/>
      <charset val="204"/>
      <scheme val="minor"/>
    </font>
    <font>
      <sz val="11"/>
      <color rgb="FFC00000"/>
      <name val="Calibri"/>
      <family val="2"/>
      <charset val="204"/>
    </font>
    <font>
      <u/>
      <sz val="11"/>
      <color theme="10"/>
      <name val="Calibri"/>
      <family val="2"/>
      <charset val="204"/>
    </font>
    <font>
      <sz val="11"/>
      <name val="Calibri"/>
      <family val="2"/>
      <charset val="204"/>
    </font>
    <font>
      <sz val="8"/>
      <name val="Calibri"/>
      <family val="2"/>
      <charset val="204"/>
    </font>
    <font>
      <sz val="8"/>
      <name val="Calibri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F6C3A0"/>
        <bgColor indexed="64"/>
      </patternFill>
    </fill>
    <fill>
      <patternFill patternType="solid">
        <fgColor rgb="FFFAD9C2"/>
        <bgColor indexed="64"/>
      </patternFill>
    </fill>
    <fill>
      <patternFill patternType="solid">
        <fgColor rgb="FFF1955D"/>
        <bgColor rgb="FF000000"/>
      </patternFill>
    </fill>
    <fill>
      <patternFill patternType="solid">
        <fgColor rgb="FFF3B285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" fillId="0" borderId="0"/>
    <xf numFmtId="0" fontId="5" fillId="0" borderId="0" applyNumberFormat="0" applyFill="0" applyBorder="0" applyAlignment="0" applyProtection="0"/>
  </cellStyleXfs>
  <cellXfs count="34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1"/>
    <xf numFmtId="0" fontId="4" fillId="0" borderId="0" xfId="1" applyFont="1" applyAlignment="1">
      <alignment horizontal="center" vertical="center"/>
    </xf>
    <xf numFmtId="0" fontId="0" fillId="0" borderId="0" xfId="0" applyFont="1" applyAlignment="1"/>
    <xf numFmtId="0" fontId="1" fillId="0" borderId="0" xfId="0" applyFont="1"/>
    <xf numFmtId="3" fontId="3" fillId="3" borderId="2" xfId="0" applyNumberFormat="1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/>
    </xf>
    <xf numFmtId="3" fontId="3" fillId="5" borderId="2" xfId="0" applyNumberFormat="1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3" fontId="3" fillId="5" borderId="2" xfId="0" applyNumberFormat="1" applyFont="1" applyFill="1" applyBorder="1" applyAlignment="1">
      <alignment horizontal="center" vertical="center" shrinkToFit="1"/>
    </xf>
    <xf numFmtId="3" fontId="3" fillId="2" borderId="2" xfId="0" applyNumberFormat="1" applyFont="1" applyFill="1" applyBorder="1" applyAlignment="1">
      <alignment horizontal="center" vertical="center" shrinkToFit="1"/>
    </xf>
    <xf numFmtId="3" fontId="3" fillId="3" borderId="2" xfId="0" applyNumberFormat="1" applyFont="1" applyFill="1" applyBorder="1" applyAlignment="1">
      <alignment horizontal="center" vertical="center" shrinkToFit="1"/>
    </xf>
    <xf numFmtId="49" fontId="1" fillId="0" borderId="0" xfId="0" applyNumberFormat="1" applyFont="1"/>
    <xf numFmtId="0" fontId="0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/>
    <xf numFmtId="0" fontId="0" fillId="0" borderId="0" xfId="0" applyAlignment="1">
      <alignment horizontal="center" vertical="center"/>
    </xf>
    <xf numFmtId="0" fontId="5" fillId="0" borderId="0" xfId="2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49" fontId="6" fillId="4" borderId="2" xfId="0" applyNumberFormat="1" applyFont="1" applyFill="1" applyBorder="1" applyAlignment="1">
      <alignment horizontal="center" vertical="center" shrinkToFit="1"/>
    </xf>
    <xf numFmtId="0" fontId="6" fillId="4" borderId="2" xfId="0" applyFont="1" applyFill="1" applyBorder="1" applyAlignment="1">
      <alignment horizontal="center" vertical="center" shrinkToFit="1"/>
    </xf>
    <xf numFmtId="3" fontId="3" fillId="2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6" fillId="4" borderId="4" xfId="0" applyFont="1" applyFill="1" applyBorder="1" applyAlignment="1">
      <alignment horizontal="center" vertical="center"/>
    </xf>
    <xf numFmtId="3" fontId="3" fillId="2" borderId="9" xfId="0" applyNumberFormat="1" applyFont="1" applyFill="1" applyBorder="1" applyAlignment="1">
      <alignment horizontal="center" vertical="center" shrinkToFit="1"/>
    </xf>
    <xf numFmtId="0" fontId="6" fillId="4" borderId="4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6" fillId="4" borderId="7" xfId="0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0" fontId="6" fillId="4" borderId="6" xfId="0" applyFont="1" applyFill="1" applyBorder="1" applyAlignment="1">
      <alignment horizontal="center" vertical="center"/>
    </xf>
  </cellXfs>
  <cellStyles count="3">
    <cellStyle name="Гиперссылка" xfId="2" builtinId="8"/>
    <cellStyle name="Обычный" xfId="0" builtinId="0"/>
    <cellStyle name="Обычный 2" xfId="1" xr:uid="{00000000-0005-0000-0000-000002000000}"/>
  </cellStyles>
  <dxfs count="11">
    <dxf>
      <alignment horizontal="general" vertical="bottom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</dxfs>
  <tableStyles count="0" defaultTableStyle="TableStyleMedium2" defaultPivotStyle="PivotStyleLight16"/>
  <colors>
    <mruColors>
      <color rgb="FFF3B285"/>
      <color rgb="FFF1955D"/>
      <color rgb="FFF9D3B9"/>
      <color rgb="FFFAD9C2"/>
      <color rgb="FFF6C3A0"/>
      <color rgb="FFF5B88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Таблица4" displayName="Таблица4" ref="A1:C7" totalsRowShown="0">
  <autoFilter ref="A1:C7" xr:uid="{00000000-0009-0000-0100-000002000000}">
    <filterColumn colId="0" hiddenButton="1"/>
    <filterColumn colId="1" hiddenButton="1"/>
    <filterColumn colId="2" hiddenButton="1"/>
  </autoFilter>
  <tableColumns count="3">
    <tableColumn id="1" xr3:uid="{00000000-0010-0000-0000-000001000000}" name="№" dataDxfId="2"/>
    <tableColumn id="2" xr3:uid="{00000000-0010-0000-0000-000002000000}" name="Link" dataDxfId="1" dataCellStyle="Гиперссылка"/>
    <tableColumn id="3" xr3:uid="{00000000-0010-0000-0000-000003000000}" name="Description (single table, table set, mintage, prices):" dataDxfId="0"/>
  </tableColumns>
  <tableStyleInfo name="TableStyleMedium9" showFirstColumn="1" showLastColumn="0" showRowStripes="0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euro-coins.info/images/files/Tablitsa_raznovidnostey_monet_evro_UNC.pdf" TargetMode="External"/><Relationship Id="rId7" Type="http://schemas.openxmlformats.org/officeDocument/2006/relationships/table" Target="../tables/table1.xml"/><Relationship Id="rId2" Type="http://schemas.openxmlformats.org/officeDocument/2006/relationships/hyperlink" Target="https://www.euro-coins.info/info/mintage/slovakia.html" TargetMode="External"/><Relationship Id="rId1" Type="http://schemas.openxmlformats.org/officeDocument/2006/relationships/hyperlink" Target="https://en.ucoin.net/catalog/?country=slovakia" TargetMode="External"/><Relationship Id="rId6" Type="http://schemas.openxmlformats.org/officeDocument/2006/relationships/hyperlink" Target="http://www.eurocollection.co.uk/Variants.html" TargetMode="External"/><Relationship Id="rId5" Type="http://schemas.openxmlformats.org/officeDocument/2006/relationships/hyperlink" Target="http://www.eurocollection.co.uk/" TargetMode="External"/><Relationship Id="rId4" Type="http://schemas.openxmlformats.org/officeDocument/2006/relationships/hyperlink" Target="https://img-fotki.yandex.ru/get/6522/3621775.137/0_8f474_244963fb_ori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"/>
  <sheetViews>
    <sheetView workbookViewId="0">
      <pane xSplit="7" ySplit="2" topLeftCell="H3" activePane="bottomRight" state="frozen"/>
      <selection pane="topRight" activeCell="H1" sqref="H1"/>
      <selection pane="bottomLeft" activeCell="A3" sqref="A3"/>
      <selection pane="bottomRight" activeCell="C32" sqref="C32:C33"/>
    </sheetView>
  </sheetViews>
  <sheetFormatPr defaultRowHeight="15" customHeight="1" x14ac:dyDescent="0.35"/>
  <cols>
    <col min="1" max="1" width="5.6328125" style="4" customWidth="1"/>
    <col min="2" max="2" width="50.6328125" style="4" customWidth="1"/>
    <col min="3" max="4" width="33.6328125" style="4" customWidth="1"/>
    <col min="5" max="5" width="12.6328125" style="4" customWidth="1"/>
    <col min="6" max="6" width="3.6328125" style="4" customWidth="1"/>
    <col min="7" max="7" width="12.6328125" style="4" customWidth="1"/>
  </cols>
  <sheetData>
    <row r="1" spans="1:7" ht="15" customHeight="1" x14ac:dyDescent="0.35">
      <c r="A1" s="27" t="s">
        <v>0</v>
      </c>
      <c r="B1" s="25"/>
      <c r="C1" s="29" t="s">
        <v>1</v>
      </c>
      <c r="D1" s="30"/>
      <c r="E1" s="7" t="s">
        <v>2</v>
      </c>
      <c r="F1" s="22" t="s">
        <v>3</v>
      </c>
      <c r="G1" s="2"/>
    </row>
    <row r="2" spans="1:7" ht="15" customHeight="1" x14ac:dyDescent="0.35">
      <c r="A2" s="28"/>
      <c r="B2" s="25" t="s">
        <v>26</v>
      </c>
      <c r="C2" s="6" t="s">
        <v>27</v>
      </c>
      <c r="D2" s="6" t="s">
        <v>28</v>
      </c>
      <c r="E2" s="8" t="s">
        <v>30</v>
      </c>
      <c r="F2" s="8" t="s">
        <v>30</v>
      </c>
      <c r="G2" s="2"/>
    </row>
    <row r="3" spans="1:7" ht="15" customHeight="1" x14ac:dyDescent="0.35">
      <c r="A3" s="9">
        <v>2026</v>
      </c>
      <c r="B3" s="10" t="s">
        <v>32</v>
      </c>
      <c r="C3" s="26" t="s">
        <v>31</v>
      </c>
      <c r="D3" s="11"/>
      <c r="E3" s="12"/>
      <c r="F3" s="1">
        <v>1</v>
      </c>
      <c r="G3" s="3" t="str">
        <f t="shared" ref="G3" si="0">IF(OR(AND(F3&gt;1,F3&lt;&gt;"-")),"Can exchange","")</f>
        <v/>
      </c>
    </row>
  </sheetData>
  <autoFilter ref="B2:E2" xr:uid="{00000000-0001-0000-0000-000000000000}"/>
  <mergeCells count="2">
    <mergeCell ref="A1:A2"/>
    <mergeCell ref="C1:D1"/>
  </mergeCells>
  <phoneticPr fontId="8" type="noConversion"/>
  <conditionalFormatting sqref="F3">
    <cfRule type="containsText" dxfId="10" priority="11" operator="containsText" text="*-">
      <formula>NOT(ISERROR(SEARCH(("*-"),(F3))))</formula>
    </cfRule>
  </conditionalFormatting>
  <conditionalFormatting sqref="F3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4"/>
  <sheetViews>
    <sheetView workbookViewId="0">
      <pane xSplit="7" ySplit="2" topLeftCell="H3" activePane="bottomRight" state="frozen"/>
      <selection pane="topRight" activeCell="H1" sqref="H1"/>
      <selection pane="bottomLeft" activeCell="A3" sqref="A3"/>
      <selection pane="bottomRight" activeCell="B18" sqref="B18"/>
    </sheetView>
  </sheetViews>
  <sheetFormatPr defaultRowHeight="15" customHeight="1" x14ac:dyDescent="0.35"/>
  <cols>
    <col min="1" max="1" width="5.6328125" style="4" customWidth="1"/>
    <col min="2" max="2" width="50.6328125" style="4" customWidth="1"/>
    <col min="3" max="4" width="33.6328125" style="4" customWidth="1"/>
    <col min="5" max="5" width="12.6328125" style="4" customWidth="1"/>
    <col min="6" max="6" width="3.6328125" style="4" customWidth="1"/>
    <col min="7" max="7" width="12.6328125" style="4" customWidth="1"/>
  </cols>
  <sheetData>
    <row r="1" spans="1:9" ht="15" customHeight="1" x14ac:dyDescent="0.35">
      <c r="A1" s="27" t="s">
        <v>0</v>
      </c>
      <c r="B1" s="25"/>
      <c r="C1" s="29" t="s">
        <v>1</v>
      </c>
      <c r="D1" s="30"/>
      <c r="E1" s="7" t="s">
        <v>2</v>
      </c>
      <c r="F1" s="22" t="s">
        <v>4</v>
      </c>
      <c r="G1" s="2"/>
    </row>
    <row r="2" spans="1:9" ht="15" customHeight="1" x14ac:dyDescent="0.35">
      <c r="A2" s="28"/>
      <c r="B2" s="25" t="s">
        <v>26</v>
      </c>
      <c r="C2" s="6" t="s">
        <v>27</v>
      </c>
      <c r="D2" s="6" t="s">
        <v>28</v>
      </c>
      <c r="E2" s="8" t="s">
        <v>30</v>
      </c>
      <c r="F2" s="8" t="s">
        <v>30</v>
      </c>
      <c r="G2" s="2"/>
    </row>
    <row r="3" spans="1:9" ht="15" customHeight="1" x14ac:dyDescent="0.35">
      <c r="A3" s="9">
        <v>2026</v>
      </c>
      <c r="B3" s="10" t="s">
        <v>32</v>
      </c>
      <c r="C3" s="26" t="s">
        <v>31</v>
      </c>
      <c r="D3" s="11"/>
      <c r="E3" s="12"/>
      <c r="F3" s="1">
        <v>1</v>
      </c>
      <c r="G3" s="3" t="str">
        <f t="shared" ref="G3" si="0">IF(OR(AND(F3&gt;1,F3&lt;&gt;"-")),"Can exchange","")</f>
        <v/>
      </c>
      <c r="I3" s="5"/>
    </row>
    <row r="4" spans="1:9" ht="15" customHeight="1" x14ac:dyDescent="0.35">
      <c r="I4" s="5"/>
    </row>
  </sheetData>
  <autoFilter ref="B2:E2" xr:uid="{00000000-0001-0000-0100-000000000000}"/>
  <mergeCells count="2">
    <mergeCell ref="A1:A2"/>
    <mergeCell ref="C1:D1"/>
  </mergeCells>
  <phoneticPr fontId="8" type="noConversion"/>
  <conditionalFormatting sqref="F3">
    <cfRule type="containsText" dxfId="9" priority="1" operator="containsText" text="*-">
      <formula>NOT(ISERROR(SEARCH(("*-"),(F3))))</formula>
    </cfRule>
  </conditionalFormatting>
  <conditionalFormatting sqref="F3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4"/>
  <sheetViews>
    <sheetView workbookViewId="0">
      <pane xSplit="7" ySplit="2" topLeftCell="H3" activePane="bottomRight" state="frozen"/>
      <selection pane="topRight" activeCell="H1" sqref="H1"/>
      <selection pane="bottomLeft" activeCell="A3" sqref="A3"/>
      <selection pane="bottomRight" activeCell="C41" sqref="C41"/>
    </sheetView>
  </sheetViews>
  <sheetFormatPr defaultRowHeight="15" customHeight="1" x14ac:dyDescent="0.35"/>
  <cols>
    <col min="1" max="1" width="5.6328125" style="4" customWidth="1"/>
    <col min="2" max="2" width="50.6328125" style="4" customWidth="1"/>
    <col min="3" max="4" width="33.6328125" style="4" customWidth="1"/>
    <col min="5" max="5" width="12.6328125" style="4" customWidth="1"/>
    <col min="6" max="6" width="3.6328125" style="4" customWidth="1"/>
    <col min="7" max="7" width="12.6328125" style="4" customWidth="1"/>
  </cols>
  <sheetData>
    <row r="1" spans="1:9" ht="15" customHeight="1" x14ac:dyDescent="0.35">
      <c r="A1" s="27" t="s">
        <v>0</v>
      </c>
      <c r="B1" s="25"/>
      <c r="C1" s="29" t="s">
        <v>1</v>
      </c>
      <c r="D1" s="30"/>
      <c r="E1" s="7" t="s">
        <v>2</v>
      </c>
      <c r="F1" s="22" t="s">
        <v>5</v>
      </c>
      <c r="G1" s="2"/>
    </row>
    <row r="2" spans="1:9" ht="15" customHeight="1" x14ac:dyDescent="0.35">
      <c r="A2" s="28"/>
      <c r="B2" s="25" t="s">
        <v>26</v>
      </c>
      <c r="C2" s="6" t="s">
        <v>27</v>
      </c>
      <c r="D2" s="6" t="s">
        <v>28</v>
      </c>
      <c r="E2" s="8" t="s">
        <v>30</v>
      </c>
      <c r="F2" s="8" t="s">
        <v>30</v>
      </c>
      <c r="G2" s="2"/>
    </row>
    <row r="3" spans="1:9" ht="15" customHeight="1" x14ac:dyDescent="0.35">
      <c r="A3" s="9">
        <v>2026</v>
      </c>
      <c r="B3" s="10" t="s">
        <v>32</v>
      </c>
      <c r="C3" s="26" t="s">
        <v>31</v>
      </c>
      <c r="D3" s="11"/>
      <c r="E3" s="12"/>
      <c r="F3" s="1">
        <v>1</v>
      </c>
      <c r="G3" s="3" t="str">
        <f t="shared" ref="G3" si="0">IF(OR(AND(F3&gt;1,F3&lt;&gt;"-")),"Can exchange","")</f>
        <v/>
      </c>
      <c r="I3" s="5"/>
    </row>
    <row r="4" spans="1:9" ht="15" customHeight="1" x14ac:dyDescent="0.35">
      <c r="I4" s="5"/>
    </row>
  </sheetData>
  <autoFilter ref="B2:E2" xr:uid="{00000000-0001-0000-0200-000000000000}"/>
  <mergeCells count="2">
    <mergeCell ref="A1:A2"/>
    <mergeCell ref="C1:D1"/>
  </mergeCells>
  <phoneticPr fontId="8" type="noConversion"/>
  <conditionalFormatting sqref="F3">
    <cfRule type="containsText" dxfId="8" priority="1" operator="containsText" text="*-">
      <formula>NOT(ISERROR(SEARCH(("*-"),(F3))))</formula>
    </cfRule>
  </conditionalFormatting>
  <conditionalFormatting sqref="F3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4"/>
  <sheetViews>
    <sheetView workbookViewId="0">
      <pane xSplit="7" ySplit="2" topLeftCell="H3" activePane="bottomRight" state="frozen"/>
      <selection pane="topRight" activeCell="H1" sqref="H1"/>
      <selection pane="bottomLeft" activeCell="A3" sqref="A3"/>
      <selection pane="bottomRight" activeCell="D3" sqref="D3"/>
    </sheetView>
  </sheetViews>
  <sheetFormatPr defaultRowHeight="15" customHeight="1" x14ac:dyDescent="0.35"/>
  <cols>
    <col min="1" max="1" width="5.6328125" style="4" customWidth="1"/>
    <col min="2" max="2" width="50.6328125" style="4" customWidth="1"/>
    <col min="3" max="4" width="33.6328125" style="4" customWidth="1"/>
    <col min="5" max="5" width="12.6328125" style="4" customWidth="1"/>
    <col min="6" max="6" width="3.6328125" style="4" customWidth="1"/>
    <col min="7" max="7" width="12.6328125" style="4" customWidth="1"/>
  </cols>
  <sheetData>
    <row r="1" spans="1:9" ht="15" customHeight="1" x14ac:dyDescent="0.35">
      <c r="A1" s="31" t="s">
        <v>0</v>
      </c>
      <c r="B1" s="25"/>
      <c r="C1" s="29" t="s">
        <v>1</v>
      </c>
      <c r="D1" s="33"/>
      <c r="E1" s="7" t="s">
        <v>2</v>
      </c>
      <c r="F1" s="22" t="s">
        <v>6</v>
      </c>
      <c r="G1" s="2"/>
    </row>
    <row r="2" spans="1:9" ht="15" customHeight="1" x14ac:dyDescent="0.35">
      <c r="A2" s="32"/>
      <c r="B2" s="25" t="s">
        <v>26</v>
      </c>
      <c r="C2" s="6" t="s">
        <v>27</v>
      </c>
      <c r="D2" s="6" t="s">
        <v>29</v>
      </c>
      <c r="E2" s="8" t="s">
        <v>30</v>
      </c>
      <c r="F2" s="8" t="s">
        <v>30</v>
      </c>
      <c r="G2" s="2"/>
    </row>
    <row r="3" spans="1:9" ht="15" customHeight="1" x14ac:dyDescent="0.35">
      <c r="A3" s="9">
        <v>2026</v>
      </c>
      <c r="B3" s="10" t="s">
        <v>32</v>
      </c>
      <c r="C3" s="26" t="s">
        <v>31</v>
      </c>
      <c r="D3" s="23" t="s">
        <v>25</v>
      </c>
      <c r="E3" s="12"/>
      <c r="F3" s="1">
        <v>1</v>
      </c>
      <c r="G3" s="3" t="str">
        <f t="shared" ref="G3" si="0">IF(OR(AND(F3&gt;1,F3&lt;&gt;"-")),"Can exchange","")</f>
        <v/>
      </c>
      <c r="I3" s="5"/>
    </row>
    <row r="4" spans="1:9" ht="15" customHeight="1" x14ac:dyDescent="0.35">
      <c r="I4" s="5"/>
    </row>
  </sheetData>
  <autoFilter ref="B2:E2" xr:uid="{00000000-0001-0000-0300-000000000000}"/>
  <mergeCells count="2">
    <mergeCell ref="A1:A2"/>
    <mergeCell ref="C1:D1"/>
  </mergeCells>
  <phoneticPr fontId="8" type="noConversion"/>
  <conditionalFormatting sqref="F3">
    <cfRule type="containsText" dxfId="7" priority="1" operator="containsText" text="*-">
      <formula>NOT(ISERROR(SEARCH(("*-"),(F3))))</formula>
    </cfRule>
  </conditionalFormatting>
  <conditionalFormatting sqref="F3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4"/>
  <sheetViews>
    <sheetView workbookViewId="0">
      <pane xSplit="7" ySplit="2" topLeftCell="H3" activePane="bottomRight" state="frozen"/>
      <selection pane="topRight" activeCell="H1" sqref="H1"/>
      <selection pane="bottomLeft" activeCell="A3" sqref="A3"/>
      <selection pane="bottomRight" activeCell="D3" sqref="D3"/>
    </sheetView>
  </sheetViews>
  <sheetFormatPr defaultRowHeight="15" customHeight="1" x14ac:dyDescent="0.35"/>
  <cols>
    <col min="1" max="1" width="5.6328125" style="4" customWidth="1"/>
    <col min="2" max="2" width="50.6328125" style="4" customWidth="1"/>
    <col min="3" max="4" width="33.6328125" style="4" customWidth="1"/>
    <col min="5" max="5" width="12.6328125" style="4" customWidth="1"/>
    <col min="6" max="6" width="3.6328125" style="4" customWidth="1"/>
    <col min="7" max="7" width="12.6328125" style="4" customWidth="1"/>
  </cols>
  <sheetData>
    <row r="1" spans="1:9" ht="15" customHeight="1" x14ac:dyDescent="0.35">
      <c r="A1" s="31" t="s">
        <v>0</v>
      </c>
      <c r="B1" s="25"/>
      <c r="C1" s="29" t="s">
        <v>1</v>
      </c>
      <c r="D1" s="33"/>
      <c r="E1" s="7" t="s">
        <v>2</v>
      </c>
      <c r="F1" s="22" t="s">
        <v>7</v>
      </c>
      <c r="G1" s="2"/>
    </row>
    <row r="2" spans="1:9" ht="15" customHeight="1" x14ac:dyDescent="0.35">
      <c r="A2" s="32"/>
      <c r="B2" s="25" t="s">
        <v>26</v>
      </c>
      <c r="C2" s="6" t="s">
        <v>27</v>
      </c>
      <c r="D2" s="6" t="s">
        <v>29</v>
      </c>
      <c r="E2" s="8" t="s">
        <v>30</v>
      </c>
      <c r="F2" s="8" t="s">
        <v>30</v>
      </c>
      <c r="G2" s="2"/>
    </row>
    <row r="3" spans="1:9" ht="15" customHeight="1" x14ac:dyDescent="0.35">
      <c r="A3" s="9">
        <v>2026</v>
      </c>
      <c r="B3" s="10" t="s">
        <v>32</v>
      </c>
      <c r="C3" s="26" t="s">
        <v>31</v>
      </c>
      <c r="D3" s="23" t="s">
        <v>25</v>
      </c>
      <c r="E3" s="12"/>
      <c r="F3" s="1">
        <v>1</v>
      </c>
      <c r="G3" s="3" t="str">
        <f t="shared" ref="G3" si="0">IF(OR(AND(F3&gt;1,F3&lt;&gt;"-")),"Can exchange","")</f>
        <v/>
      </c>
      <c r="I3" s="5"/>
    </row>
    <row r="4" spans="1:9" ht="15" customHeight="1" x14ac:dyDescent="0.35">
      <c r="I4" s="5"/>
    </row>
  </sheetData>
  <autoFilter ref="B2:E2" xr:uid="{00000000-0001-0000-0400-000000000000}"/>
  <mergeCells count="2">
    <mergeCell ref="A1:A2"/>
    <mergeCell ref="C1:D1"/>
  </mergeCells>
  <phoneticPr fontId="8" type="noConversion"/>
  <conditionalFormatting sqref="F3">
    <cfRule type="containsText" dxfId="6" priority="1" operator="containsText" text="*-">
      <formula>NOT(ISERROR(SEARCH(("*-"),(F3))))</formula>
    </cfRule>
  </conditionalFormatting>
  <conditionalFormatting sqref="F3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4"/>
  <sheetViews>
    <sheetView tabSelected="1" workbookViewId="0">
      <pane xSplit="7" ySplit="2" topLeftCell="H3" activePane="bottomRight" state="frozen"/>
      <selection pane="topRight" activeCell="H1" sqref="H1"/>
      <selection pane="bottomLeft" activeCell="A3" sqref="A3"/>
      <selection pane="bottomRight" activeCell="C16" sqref="C16"/>
    </sheetView>
  </sheetViews>
  <sheetFormatPr defaultRowHeight="15" customHeight="1" x14ac:dyDescent="0.35"/>
  <cols>
    <col min="1" max="1" width="5.6328125" style="4" customWidth="1"/>
    <col min="2" max="2" width="50.6328125" style="4" customWidth="1"/>
    <col min="3" max="4" width="33.6328125" style="4" customWidth="1"/>
    <col min="5" max="5" width="12.6328125" style="4" customWidth="1"/>
    <col min="6" max="6" width="3.6328125" style="4" customWidth="1"/>
    <col min="7" max="7" width="12.6328125" style="4" customWidth="1"/>
  </cols>
  <sheetData>
    <row r="1" spans="1:9" ht="15" customHeight="1" x14ac:dyDescent="0.35">
      <c r="A1" s="31" t="s">
        <v>0</v>
      </c>
      <c r="B1" s="25"/>
      <c r="C1" s="29" t="s">
        <v>1</v>
      </c>
      <c r="D1" s="33"/>
      <c r="E1" s="7" t="s">
        <v>2</v>
      </c>
      <c r="F1" s="21" t="s">
        <v>8</v>
      </c>
      <c r="G1" s="2"/>
    </row>
    <row r="2" spans="1:9" ht="15" customHeight="1" x14ac:dyDescent="0.35">
      <c r="A2" s="32"/>
      <c r="B2" s="25" t="s">
        <v>26</v>
      </c>
      <c r="C2" s="6" t="s">
        <v>27</v>
      </c>
      <c r="D2" s="6" t="s">
        <v>29</v>
      </c>
      <c r="E2" s="8" t="s">
        <v>30</v>
      </c>
      <c r="F2" s="8" t="s">
        <v>30</v>
      </c>
      <c r="G2" s="2"/>
    </row>
    <row r="3" spans="1:9" ht="15" customHeight="1" x14ac:dyDescent="0.35">
      <c r="A3" s="9">
        <v>2026</v>
      </c>
      <c r="B3" s="10" t="s">
        <v>32</v>
      </c>
      <c r="C3" s="26" t="s">
        <v>31</v>
      </c>
      <c r="D3" s="23" t="s">
        <v>25</v>
      </c>
      <c r="E3" s="12"/>
      <c r="F3" s="1">
        <v>1</v>
      </c>
      <c r="G3" s="3" t="str">
        <f t="shared" ref="G3" si="0">IF(OR(AND(F3&gt;1,F3&lt;&gt;"-")),"Can exchange","")</f>
        <v/>
      </c>
      <c r="I3" s="5"/>
    </row>
    <row r="4" spans="1:9" ht="15" customHeight="1" x14ac:dyDescent="0.35">
      <c r="I4" s="5"/>
    </row>
  </sheetData>
  <autoFilter ref="B2:E2" xr:uid="{00000000-0001-0000-0500-000000000000}"/>
  <mergeCells count="2">
    <mergeCell ref="A1:A2"/>
    <mergeCell ref="C1:D1"/>
  </mergeCells>
  <phoneticPr fontId="7" type="noConversion"/>
  <conditionalFormatting sqref="F3">
    <cfRule type="containsText" dxfId="5" priority="1" operator="containsText" text="*-">
      <formula>NOT(ISERROR(SEARCH(("*-"),(F3))))</formula>
    </cfRule>
  </conditionalFormatting>
  <conditionalFormatting sqref="F3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17"/>
  <sheetViews>
    <sheetView workbookViewId="0">
      <pane xSplit="7" ySplit="2" topLeftCell="H3" activePane="bottomRight" state="frozen"/>
      <selection pane="topRight" activeCell="H1" sqref="H1"/>
      <selection pane="bottomLeft" activeCell="A3" sqref="A3"/>
      <selection pane="bottomRight" activeCell="C25" sqref="C25"/>
    </sheetView>
  </sheetViews>
  <sheetFormatPr defaultRowHeight="15" customHeight="1" x14ac:dyDescent="0.35"/>
  <cols>
    <col min="1" max="1" width="5.6328125" style="4" customWidth="1"/>
    <col min="2" max="2" width="50.6328125" style="4" customWidth="1"/>
    <col min="3" max="4" width="33.6328125" style="4" customWidth="1"/>
    <col min="5" max="5" width="12.6328125" style="4" customWidth="1"/>
    <col min="6" max="6" width="3.6328125" style="4" customWidth="1"/>
    <col min="7" max="7" width="12.6328125" style="4" customWidth="1"/>
  </cols>
  <sheetData>
    <row r="1" spans="1:9" ht="15" customHeight="1" x14ac:dyDescent="0.35">
      <c r="A1" s="31" t="s">
        <v>0</v>
      </c>
      <c r="B1" s="25"/>
      <c r="C1" s="29" t="s">
        <v>1</v>
      </c>
      <c r="D1" s="33"/>
      <c r="E1" s="7" t="s">
        <v>2</v>
      </c>
      <c r="F1" s="21" t="s">
        <v>9</v>
      </c>
      <c r="G1" s="2"/>
    </row>
    <row r="2" spans="1:9" ht="15" customHeight="1" x14ac:dyDescent="0.35">
      <c r="A2" s="32"/>
      <c r="B2" s="25" t="s">
        <v>26</v>
      </c>
      <c r="C2" s="6" t="s">
        <v>27</v>
      </c>
      <c r="D2" s="6" t="s">
        <v>29</v>
      </c>
      <c r="E2" s="8" t="s">
        <v>30</v>
      </c>
      <c r="F2" s="8" t="s">
        <v>30</v>
      </c>
      <c r="G2" s="2"/>
    </row>
    <row r="3" spans="1:9" ht="15" customHeight="1" x14ac:dyDescent="0.35">
      <c r="A3" s="9">
        <v>2026</v>
      </c>
      <c r="B3" s="10" t="s">
        <v>33</v>
      </c>
      <c r="C3" s="26" t="s">
        <v>31</v>
      </c>
      <c r="D3" s="23" t="s">
        <v>25</v>
      </c>
      <c r="E3" s="12"/>
      <c r="F3" s="1">
        <v>1</v>
      </c>
      <c r="G3" s="3" t="str">
        <f t="shared" ref="G3" si="0">IF(OR(AND(F3&gt;1,F3&lt;&gt;"-")),"Can exchange","")</f>
        <v/>
      </c>
      <c r="I3" s="5"/>
    </row>
    <row r="4" spans="1:9" ht="15" customHeight="1" x14ac:dyDescent="0.35">
      <c r="H4" s="13"/>
      <c r="I4" s="5"/>
    </row>
    <row r="17" spans="18:18" ht="15" customHeight="1" x14ac:dyDescent="0.35">
      <c r="R17" s="24"/>
    </row>
  </sheetData>
  <autoFilter ref="B2:E2" xr:uid="{00000000-0001-0000-0600-000000000000}"/>
  <mergeCells count="2">
    <mergeCell ref="A1:A2"/>
    <mergeCell ref="C1:D1"/>
  </mergeCells>
  <phoneticPr fontId="7" type="noConversion"/>
  <conditionalFormatting sqref="F3">
    <cfRule type="containsText" dxfId="4" priority="1" operator="containsText" text="*-">
      <formula>NOT(ISERROR(SEARCH(("*-"),(F3))))</formula>
    </cfRule>
  </conditionalFormatting>
  <conditionalFormatting sqref="F3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R24"/>
  <sheetViews>
    <sheetView workbookViewId="0">
      <pane xSplit="7" ySplit="2" topLeftCell="H3" activePane="bottomRight" state="frozen"/>
      <selection pane="topRight" activeCell="H1" sqref="H1"/>
      <selection pane="bottomLeft" activeCell="A3" sqref="A3"/>
      <selection pane="bottomRight" activeCell="B14" sqref="B14"/>
    </sheetView>
  </sheetViews>
  <sheetFormatPr defaultRowHeight="15" customHeight="1" x14ac:dyDescent="0.35"/>
  <cols>
    <col min="1" max="1" width="5.6328125" style="4" customWidth="1"/>
    <col min="2" max="2" width="50.6328125" style="4" customWidth="1"/>
    <col min="3" max="4" width="33.6328125" style="4" customWidth="1"/>
    <col min="5" max="5" width="12.6328125" style="4" customWidth="1"/>
    <col min="6" max="6" width="3.6328125" style="4" customWidth="1"/>
    <col min="7" max="7" width="12.6328125" style="4" customWidth="1"/>
  </cols>
  <sheetData>
    <row r="1" spans="1:9" ht="15" customHeight="1" x14ac:dyDescent="0.35">
      <c r="A1" s="31" t="s">
        <v>0</v>
      </c>
      <c r="B1" s="25"/>
      <c r="C1" s="29" t="s">
        <v>1</v>
      </c>
      <c r="D1" s="33"/>
      <c r="E1" s="7" t="s">
        <v>2</v>
      </c>
      <c r="F1" s="21" t="s">
        <v>10</v>
      </c>
      <c r="G1" s="2"/>
    </row>
    <row r="2" spans="1:9" ht="15" customHeight="1" x14ac:dyDescent="0.35">
      <c r="A2" s="32"/>
      <c r="B2" s="25" t="s">
        <v>26</v>
      </c>
      <c r="C2" s="6" t="s">
        <v>27</v>
      </c>
      <c r="D2" s="6" t="s">
        <v>29</v>
      </c>
      <c r="E2" s="8" t="s">
        <v>30</v>
      </c>
      <c r="F2" s="8" t="s">
        <v>30</v>
      </c>
      <c r="G2" s="2"/>
    </row>
    <row r="3" spans="1:9" ht="15" customHeight="1" x14ac:dyDescent="0.35">
      <c r="A3" s="9">
        <v>2026</v>
      </c>
      <c r="B3" s="10" t="s">
        <v>34</v>
      </c>
      <c r="C3" s="26" t="s">
        <v>31</v>
      </c>
      <c r="D3" s="23" t="s">
        <v>25</v>
      </c>
      <c r="E3" s="12"/>
      <c r="F3" s="1">
        <v>1</v>
      </c>
      <c r="G3" s="3" t="str">
        <f t="shared" ref="G3" si="0">IF(OR(AND(F3&gt;1,F3&lt;&gt;"-")),"Can exchange","")</f>
        <v/>
      </c>
      <c r="I3" s="5"/>
    </row>
    <row r="4" spans="1:9" ht="15" customHeight="1" x14ac:dyDescent="0.35">
      <c r="H4" s="13"/>
      <c r="I4" s="5"/>
    </row>
    <row r="24" spans="18:18" ht="15" customHeight="1" x14ac:dyDescent="0.35">
      <c r="R24" s="24"/>
    </row>
  </sheetData>
  <autoFilter ref="B2:E2" xr:uid="{00000000-0001-0000-0700-000000000000}"/>
  <mergeCells count="2">
    <mergeCell ref="A1:A2"/>
    <mergeCell ref="C1:D1"/>
  </mergeCells>
  <phoneticPr fontId="8" type="noConversion"/>
  <conditionalFormatting sqref="F3">
    <cfRule type="containsText" dxfId="3" priority="1" operator="containsText" text="*-">
      <formula>NOT(ISERROR(SEARCH(("*-"),(F3))))</formula>
    </cfRule>
  </conditionalFormatting>
  <conditionalFormatting sqref="F3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7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B7" sqref="B7"/>
    </sheetView>
  </sheetViews>
  <sheetFormatPr defaultRowHeight="15" customHeight="1" x14ac:dyDescent="0.35"/>
  <cols>
    <col min="1" max="1" width="4.81640625" customWidth="1"/>
    <col min="2" max="2" width="16.26953125" customWidth="1"/>
    <col min="3" max="3" width="61.81640625" customWidth="1"/>
  </cols>
  <sheetData>
    <row r="1" spans="1:3" ht="15" customHeight="1" x14ac:dyDescent="0.35">
      <c r="A1" s="14" t="s">
        <v>11</v>
      </c>
      <c r="B1" s="15" t="s">
        <v>12</v>
      </c>
      <c r="C1" s="16" t="s">
        <v>13</v>
      </c>
    </row>
    <row r="2" spans="1:3" ht="15" customHeight="1" x14ac:dyDescent="0.35">
      <c r="A2" s="17">
        <v>1</v>
      </c>
      <c r="B2" s="18" t="s">
        <v>14</v>
      </c>
      <c r="C2" s="19" t="s">
        <v>15</v>
      </c>
    </row>
    <row r="3" spans="1:3" ht="15" customHeight="1" x14ac:dyDescent="0.35">
      <c r="A3" s="17">
        <v>2</v>
      </c>
      <c r="B3" s="18" t="s">
        <v>17</v>
      </c>
      <c r="C3" s="19" t="s">
        <v>16</v>
      </c>
    </row>
    <row r="4" spans="1:3" ht="15" customHeight="1" x14ac:dyDescent="0.35">
      <c r="A4" s="17">
        <v>3</v>
      </c>
      <c r="B4" s="18" t="s">
        <v>18</v>
      </c>
      <c r="C4" s="19" t="s">
        <v>19</v>
      </c>
    </row>
    <row r="5" spans="1:3" ht="15" customHeight="1" x14ac:dyDescent="0.35">
      <c r="A5" s="17">
        <v>4</v>
      </c>
      <c r="B5" s="18" t="s">
        <v>20</v>
      </c>
      <c r="C5" s="19" t="s">
        <v>21</v>
      </c>
    </row>
    <row r="6" spans="1:3" ht="15" customHeight="1" x14ac:dyDescent="0.35">
      <c r="A6" s="17">
        <v>5</v>
      </c>
      <c r="B6" s="18" t="s">
        <v>22</v>
      </c>
      <c r="C6" s="20" t="s">
        <v>23</v>
      </c>
    </row>
    <row r="7" spans="1:3" ht="15" customHeight="1" x14ac:dyDescent="0.35">
      <c r="A7" s="17">
        <v>6</v>
      </c>
      <c r="B7" s="18" t="s">
        <v>22</v>
      </c>
      <c r="C7" s="20" t="s">
        <v>24</v>
      </c>
    </row>
  </sheetData>
  <hyperlinks>
    <hyperlink ref="B2" r:id="rId1" xr:uid="{00000000-0004-0000-0800-000000000000}"/>
    <hyperlink ref="B3" r:id="rId2" xr:uid="{00000000-0004-0000-0800-000001000000}"/>
    <hyperlink ref="B4" r:id="rId3" xr:uid="{00000000-0004-0000-0800-000002000000}"/>
    <hyperlink ref="B5" r:id="rId4" xr:uid="{00000000-0004-0000-0800-000003000000}"/>
    <hyperlink ref="B7" r:id="rId5" xr:uid="{00000000-0004-0000-0800-000004000000}"/>
    <hyperlink ref="B6" r:id="rId6" xr:uid="{00000000-0004-0000-0800-000005000000}"/>
  </hyperlinks>
  <pageMargins left="0.7" right="0.7" top="0.75" bottom="0.75" header="0.3" footer="0.3"/>
  <tableParts count="1"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1cent</vt:lpstr>
      <vt:lpstr>2cents</vt:lpstr>
      <vt:lpstr>5cents</vt:lpstr>
      <vt:lpstr>10cents</vt:lpstr>
      <vt:lpstr>20cents</vt:lpstr>
      <vt:lpstr>50cents</vt:lpstr>
      <vt:lpstr>1€</vt:lpstr>
      <vt:lpstr>2€</vt:lpstr>
      <vt:lpstr>Links</vt:lpstr>
    </vt:vector>
  </TitlesOfParts>
  <Company>SPecialiST RePack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 Windows</dc:creator>
  <cp:lastModifiedBy>Алексей Илюшин</cp:lastModifiedBy>
  <dcterms:created xsi:type="dcterms:W3CDTF">2019-12-22T17:08:36Z</dcterms:created>
  <dcterms:modified xsi:type="dcterms:W3CDTF">2026-02-12T09:04:42Z</dcterms:modified>
</cp:coreProperties>
</file>