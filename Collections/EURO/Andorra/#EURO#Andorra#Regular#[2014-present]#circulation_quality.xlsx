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Andorra\"/>
    </mc:Choice>
  </mc:AlternateContent>
  <xr:revisionPtr revIDLastSave="0" documentId="13_ncr:1_{D08C552C-31D0-44CC-A192-9BFC5C99E314}" xr6:coauthVersionLast="47" xr6:coauthVersionMax="47" xr10:uidLastSave="{00000000-0000-0000-0000-000000000000}"/>
  <bookViews>
    <workbookView xWindow="-110" yWindow="-110" windowWidth="38620" windowHeight="21220" activeTab="5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'1€'!$B$2:$F$2</definedName>
    <definedName name="_xlnm._FilterDatabase" localSheetId="3" hidden="1">'10cents'!$B$2:$F$2</definedName>
    <definedName name="_xlnm._FilterDatabase" localSheetId="0" hidden="1">'1cent'!$B$2:$F$2</definedName>
    <definedName name="_xlnm._FilterDatabase" localSheetId="7" hidden="1">'2€'!$B$2:$F$2</definedName>
    <definedName name="_xlnm._FilterDatabase" localSheetId="4" hidden="1">'20cents'!$B$2:$F$2</definedName>
    <definedName name="_xlnm._FilterDatabase" localSheetId="1" hidden="1">'2cents'!$B$2:$F$2</definedName>
    <definedName name="_xlnm._FilterDatabase" localSheetId="5" hidden="1">'50cents'!$B$2:$F$2</definedName>
    <definedName name="_xlnm._FilterDatabase" localSheetId="2" hidden="1">'5cents'!$B$2:$F$2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" i="10" l="1"/>
  <c r="I13" i="10"/>
  <c r="I14" i="12"/>
  <c r="I13" i="12"/>
  <c r="I14" i="11"/>
  <c r="I13" i="11"/>
  <c r="I13" i="9"/>
  <c r="I14" i="9"/>
  <c r="I14" i="7"/>
  <c r="I13" i="7"/>
  <c r="I14" i="8"/>
  <c r="I13" i="8"/>
  <c r="I14" i="5"/>
  <c r="I13" i="5"/>
  <c r="I14" i="4"/>
  <c r="I13" i="4"/>
  <c r="I10" i="4"/>
  <c r="I11" i="4"/>
  <c r="I12" i="4"/>
  <c r="I10" i="5"/>
  <c r="I11" i="5"/>
  <c r="I12" i="5"/>
  <c r="I10" i="8"/>
  <c r="I11" i="8"/>
  <c r="I12" i="8"/>
  <c r="I10" i="9"/>
  <c r="I11" i="9"/>
  <c r="I12" i="9"/>
  <c r="I11" i="10"/>
  <c r="I12" i="10"/>
  <c r="I10" i="10"/>
  <c r="I10" i="11"/>
  <c r="I11" i="11"/>
  <c r="I12" i="11"/>
  <c r="I10" i="12"/>
  <c r="I11" i="12"/>
  <c r="I12" i="12"/>
  <c r="I6" i="12"/>
  <c r="I7" i="12"/>
  <c r="I8" i="12"/>
  <c r="I9" i="12"/>
  <c r="I4" i="11"/>
  <c r="I5" i="11"/>
  <c r="I6" i="11"/>
  <c r="I7" i="11"/>
  <c r="I8" i="11"/>
  <c r="I9" i="11"/>
  <c r="I4" i="10"/>
  <c r="I5" i="10"/>
  <c r="I6" i="10"/>
  <c r="I7" i="10"/>
  <c r="I8" i="10"/>
  <c r="I9" i="10"/>
  <c r="I4" i="9"/>
  <c r="I5" i="9"/>
  <c r="I6" i="9"/>
  <c r="I7" i="9"/>
  <c r="I8" i="9"/>
  <c r="I9" i="9"/>
  <c r="I4" i="8"/>
  <c r="I5" i="8"/>
  <c r="I6" i="8"/>
  <c r="I7" i="8"/>
  <c r="I8" i="8"/>
  <c r="I9" i="8"/>
  <c r="I5" i="5"/>
  <c r="I6" i="5"/>
  <c r="I7" i="5"/>
  <c r="I8" i="5"/>
  <c r="I9" i="5"/>
  <c r="I5" i="4"/>
  <c r="I6" i="4"/>
  <c r="I7" i="4"/>
  <c r="I8" i="4"/>
  <c r="I9" i="4"/>
  <c r="I3" i="8"/>
  <c r="I5" i="12" l="1"/>
  <c r="I4" i="12"/>
  <c r="I3" i="12"/>
  <c r="I3" i="11"/>
  <c r="I3" i="10"/>
  <c r="I3" i="9"/>
  <c r="I7" i="7"/>
  <c r="I6" i="7"/>
  <c r="I5" i="7"/>
  <c r="I4" i="7"/>
  <c r="I3" i="7"/>
  <c r="I4" i="5" l="1"/>
  <c r="I3" i="5"/>
  <c r="I3" i="4"/>
  <c r="I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H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H2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H2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H2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H2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F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H2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F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600-000003000000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H2" authorId="0" shapeId="0" xr:uid="{00000000-0006-0000-06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F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700-000003000000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H2" authorId="0" shapeId="0" xr:uid="{00000000-0006-0000-07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sharedStrings.xml><?xml version="1.0" encoding="utf-8"?>
<sst xmlns="http://schemas.openxmlformats.org/spreadsheetml/2006/main" count="666" uniqueCount="98">
  <si>
    <t>-</t>
  </si>
  <si>
    <t>Year</t>
  </si>
  <si>
    <t>Type</t>
  </si>
  <si>
    <t>Mintage</t>
  </si>
  <si>
    <t>1cent</t>
  </si>
  <si>
    <t>2cents</t>
  </si>
  <si>
    <t>5cents</t>
  </si>
  <si>
    <t>10cents</t>
  </si>
  <si>
    <t>20cents</t>
  </si>
  <si>
    <t>50cents</t>
  </si>
  <si>
    <t>1€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</si>
  <si>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</si>
  <si>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</si>
  <si>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</si>
  <si>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</si>
  <si>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</si>
  <si>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</si>
  <si>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</si>
  <si>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</si>
  <si>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img-fotki.yandex</t>
  </si>
  <si>
    <t>Photo of coins</t>
  </si>
  <si>
    <t>ES</t>
  </si>
  <si>
    <t>FR</t>
  </si>
  <si>
    <t>40.000</t>
  </si>
  <si>
    <t>35.000</t>
  </si>
  <si>
    <t>203.000</t>
  </si>
  <si>
    <t>2.604.395</t>
  </si>
  <si>
    <t>3.450.000</t>
  </si>
  <si>
    <t>2.570.000</t>
  </si>
  <si>
    <t>1.537.000</t>
  </si>
  <si>
    <t>1.003.000</t>
  </si>
  <si>
    <t>2.213.421</t>
  </si>
  <si>
    <t>1.820.000</t>
  </si>
  <si>
    <t>1.125.000</t>
  </si>
  <si>
    <t>1.000.000</t>
  </si>
  <si>
    <t>1.235.000</t>
  </si>
  <si>
    <t>1.034.000</t>
  </si>
  <si>
    <t>503.000</t>
  </si>
  <si>
    <t>990.800</t>
  </si>
  <si>
    <t>910.000</t>
  </si>
  <si>
    <t>654.842</t>
  </si>
  <si>
    <t>2.374.200</t>
  </si>
  <si>
    <t>20.000</t>
  </si>
  <si>
    <t>280.000</t>
  </si>
  <si>
    <t>816.588</t>
  </si>
  <si>
    <t>888.000</t>
  </si>
  <si>
    <t>15.000</t>
  </si>
  <si>
    <t>2€</t>
  </si>
  <si>
    <t>eurocollection</t>
  </si>
  <si>
    <t>Low convenience table of varieties</t>
  </si>
  <si>
    <t>High convenience single table of varieties with photos</t>
  </si>
  <si>
    <t>High convenience set of tables table of actual coins with photos</t>
  </si>
  <si>
    <t>Obv: Without mint symbol</t>
  </si>
  <si>
    <t>Obv: Pyrenean chamois</t>
  </si>
  <si>
    <t>Obv: Sant Martí de la Cortinada</t>
  </si>
  <si>
    <t xml:space="preserve">Obv: Casa de la Vall </t>
  </si>
  <si>
    <t>Rev: new map of Europe</t>
  </si>
  <si>
    <t>12.000</t>
  </si>
  <si>
    <t>2.462.000</t>
  </si>
  <si>
    <t>1.742.000</t>
  </si>
  <si>
    <t>2.115.000</t>
  </si>
  <si>
    <t>1.625.000</t>
  </si>
  <si>
    <t>872.000</t>
  </si>
  <si>
    <t>187.000</t>
  </si>
  <si>
    <t>1.585.000</t>
  </si>
  <si>
    <t>945.000</t>
  </si>
  <si>
    <t>752.000</t>
  </si>
  <si>
    <t>1.073.310</t>
  </si>
  <si>
    <t>210.500</t>
  </si>
  <si>
    <t>710.500</t>
  </si>
  <si>
    <t>10.500</t>
  </si>
  <si>
    <t>1.410.500</t>
  </si>
  <si>
    <t>1.430.500</t>
  </si>
  <si>
    <t>610.500</t>
  </si>
  <si>
    <t>60.500</t>
  </si>
  <si>
    <t>1.485.000</t>
  </si>
  <si>
    <t>460.500</t>
  </si>
  <si>
    <t>410.500</t>
  </si>
  <si>
    <t>390.500</t>
  </si>
  <si>
    <t>1.718.500</t>
  </si>
  <si>
    <t>2.085.750</t>
  </si>
  <si>
    <t>Subject</t>
  </si>
  <si>
    <t>Subtype_1#Special_marks_1</t>
  </si>
  <si>
    <t>Subtype_2#Special_distinctions_1</t>
  </si>
  <si>
    <t>Subtype_2#Map_of_Europe</t>
  </si>
  <si>
    <t>7.000</t>
  </si>
  <si>
    <t>2.215.000</t>
  </si>
  <si>
    <t>907.300</t>
  </si>
  <si>
    <t>1.517.000</t>
  </si>
  <si>
    <t>1.957.000</t>
  </si>
  <si>
    <t>687.000</t>
  </si>
  <si>
    <t>1.007.000</t>
  </si>
  <si>
    <t>1.207.000</t>
  </si>
  <si>
    <t>707.000</t>
  </si>
  <si>
    <t>957.000</t>
  </si>
  <si>
    <t>507.000</t>
  </si>
  <si>
    <t>1.127.000</t>
  </si>
  <si>
    <t>1.607.200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</si>
</sst>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8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4" fillId="0" borderId="0" xfId="1" applyFont="1" applyAlignment="1">
      <alignment horizontal="center" vertical="center"/>
    </xf>
    <xf numFmtId="0" fontId="0" fillId="0" borderId="0" xfId="0" applyFont="1" applyAlignment="1"/>
    <xf numFmtId="3" fontId="3" fillId="3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shrinkToFit="1"/>
    </xf>
    <xf numFmtId="3" fontId="3" fillId="6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3" fontId="3" fillId="6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3" fontId="3" fillId="4" borderId="2" xfId="0" applyNumberFormat="1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3" fontId="3" fillId="4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7" fillId="2" borderId="2" xfId="0" applyFont="1" applyFill="1" applyBorder="1" applyAlignment="1">
      <alignment horizontal="center" vertical="center" shrinkToFit="1"/>
    </xf>
    <xf numFmtId="0" fontId="0" fillId="0" borderId="0" xfId="0" applyAlignment="1">
      <alignment wrapText="1"/>
    </xf>
    <xf numFmtId="3" fontId="3" fillId="3" borderId="7" xfId="0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5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6" fillId="5" borderId="7" xfId="0" applyFont="1" applyFill="1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 vertical="center" shrinkToFit="1"/>
    </xf>
    <xf numFmtId="0" fontId="6" fillId="5" borderId="9" xfId="0" applyFont="1" applyFill="1" applyBorder="1" applyAlignment="1">
      <alignment horizontal="center" vertical="center" shrinkToFit="1"/>
    </xf>
    <xf numFmtId="49" fontId="6" fillId="5" borderId="7" xfId="0" applyNumberFormat="1" applyFont="1" applyFill="1" applyBorder="1" applyAlignment="1">
      <alignment horizontal="center" vertical="center" shrinkToFit="1"/>
    </xf>
    <xf numFmtId="49" fontId="0" fillId="0" borderId="7" xfId="0" applyNumberFormat="1" applyBorder="1" applyAlignment="1">
      <alignment horizontal="center" vertical="center" shrinkToFit="1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136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33"/>
    <tableColumn id="2" xr3:uid="{00000000-0010-0000-0000-000002000000}" name="Link" dataDxfId="32" dataCellStyle="Гиперссылка"/>
    <tableColumn id="3" xr3:uid="{00000000-0010-0000-0000-000003000000}" name="Description (single table, table set, mintage, prices):" dataDxfId="31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printerSettings" Target="../printerSettings/printerSettings9.bin"/><Relationship Id="rId2" Type="http://schemas.openxmlformats.org/officeDocument/2006/relationships/hyperlink" Target="https://www.euro-coins.info/info/mintage/andorra.html" TargetMode="External"/><Relationship Id="rId1" Type="http://schemas.openxmlformats.org/officeDocument/2006/relationships/hyperlink" Target="https://en.ucoin.net/catalog/?country=andorra&amp;period=305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G13" sqref="G13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26" t="s">
        <v>1</v>
      </c>
      <c r="B1" s="25"/>
      <c r="C1" s="28" t="s">
        <v>2</v>
      </c>
      <c r="D1" s="29"/>
      <c r="E1" s="30" t="s">
        <v>3</v>
      </c>
      <c r="F1" s="31"/>
      <c r="G1" s="32" t="s">
        <v>4</v>
      </c>
      <c r="H1" s="33"/>
      <c r="I1" s="2"/>
    </row>
    <row r="2" spans="1:9" ht="15" customHeight="1" x14ac:dyDescent="0.35">
      <c r="A2" s="27"/>
      <c r="B2" s="25" t="s">
        <v>81</v>
      </c>
      <c r="C2" s="6" t="s">
        <v>82</v>
      </c>
      <c r="D2" s="6" t="s">
        <v>83</v>
      </c>
      <c r="E2" s="8" t="s">
        <v>21</v>
      </c>
      <c r="F2" s="8" t="s">
        <v>22</v>
      </c>
      <c r="G2" s="19" t="s">
        <v>21</v>
      </c>
      <c r="H2" s="19" t="s">
        <v>22</v>
      </c>
      <c r="I2" s="2"/>
    </row>
    <row r="3" spans="1:9" ht="15" customHeight="1" x14ac:dyDescent="0.35">
      <c r="A3" s="9">
        <v>2014</v>
      </c>
      <c r="B3" s="10" t="s">
        <v>53</v>
      </c>
      <c r="C3" s="23" t="s">
        <v>52</v>
      </c>
      <c r="D3" s="11"/>
      <c r="E3" s="12" t="s">
        <v>25</v>
      </c>
      <c r="F3" s="7" t="s">
        <v>0</v>
      </c>
      <c r="G3" s="20">
        <v>0</v>
      </c>
      <c r="H3" s="1" t="s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9">
        <v>2015</v>
      </c>
      <c r="B4" s="10" t="s">
        <v>53</v>
      </c>
      <c r="C4" s="23" t="s">
        <v>52</v>
      </c>
      <c r="D4" s="11"/>
      <c r="E4" s="7" t="s">
        <v>0</v>
      </c>
      <c r="F4" s="21" t="s">
        <v>23</v>
      </c>
      <c r="G4" s="1" t="s">
        <v>0</v>
      </c>
      <c r="H4" s="1" t="s">
        <v>0</v>
      </c>
      <c r="I4" s="3" t="str">
        <f t="shared" ref="I4:I9" si="0">IF(OR(AND(G4&gt;1,G4&lt;&gt;"-"),AND(H4&gt;1,H4&lt;&gt;"-")),"Can exchange","")</f>
        <v/>
      </c>
    </row>
    <row r="5" spans="1:9" ht="15" customHeight="1" x14ac:dyDescent="0.35">
      <c r="A5" s="9">
        <v>2016</v>
      </c>
      <c r="B5" s="10" t="s">
        <v>53</v>
      </c>
      <c r="C5" s="23" t="s">
        <v>52</v>
      </c>
      <c r="D5" s="11"/>
      <c r="E5" s="21" t="s">
        <v>24</v>
      </c>
      <c r="F5" s="7" t="s">
        <v>0</v>
      </c>
      <c r="G5" s="1" t="s">
        <v>0</v>
      </c>
      <c r="H5" s="1" t="s">
        <v>0</v>
      </c>
      <c r="I5" s="3" t="str">
        <f t="shared" si="0"/>
        <v/>
      </c>
    </row>
    <row r="6" spans="1:9" ht="15" customHeight="1" x14ac:dyDescent="0.35">
      <c r="A6" s="9">
        <v>2017</v>
      </c>
      <c r="B6" s="10" t="s">
        <v>53</v>
      </c>
      <c r="C6" s="23" t="s">
        <v>52</v>
      </c>
      <c r="D6" s="11"/>
      <c r="E6" s="7" t="s">
        <v>0</v>
      </c>
      <c r="F6" s="12" t="s">
        <v>26</v>
      </c>
      <c r="G6" s="1" t="s">
        <v>0</v>
      </c>
      <c r="H6" s="20">
        <v>0</v>
      </c>
      <c r="I6" s="3" t="str">
        <f t="shared" si="0"/>
        <v/>
      </c>
    </row>
    <row r="7" spans="1:9" ht="15" customHeight="1" x14ac:dyDescent="0.35">
      <c r="A7" s="9">
        <v>2018</v>
      </c>
      <c r="B7" s="10" t="s">
        <v>53</v>
      </c>
      <c r="C7" s="23" t="s">
        <v>52</v>
      </c>
      <c r="D7" s="11"/>
      <c r="E7" s="12" t="s">
        <v>27</v>
      </c>
      <c r="F7" s="7" t="s">
        <v>0</v>
      </c>
      <c r="G7" s="20">
        <v>0</v>
      </c>
      <c r="H7" s="1" t="s">
        <v>0</v>
      </c>
      <c r="I7" s="3" t="str">
        <f t="shared" si="0"/>
        <v/>
      </c>
    </row>
    <row r="8" spans="1:9" ht="15" customHeight="1" x14ac:dyDescent="0.35">
      <c r="A8" s="9">
        <v>2019</v>
      </c>
      <c r="B8" s="10" t="s">
        <v>53</v>
      </c>
      <c r="C8" s="23" t="s">
        <v>52</v>
      </c>
      <c r="D8" s="11"/>
      <c r="E8" s="7" t="s">
        <v>0</v>
      </c>
      <c r="F8" s="12" t="s">
        <v>58</v>
      </c>
      <c r="G8" s="1" t="s">
        <v>0</v>
      </c>
      <c r="H8" s="20">
        <v>0</v>
      </c>
      <c r="I8" s="3" t="str">
        <f t="shared" si="0"/>
        <v/>
      </c>
    </row>
    <row r="9" spans="1:9" ht="15" customHeight="1" x14ac:dyDescent="0.35">
      <c r="A9" s="9">
        <v>2020</v>
      </c>
      <c r="B9" s="10" t="s">
        <v>53</v>
      </c>
      <c r="C9" s="23" t="s">
        <v>52</v>
      </c>
      <c r="D9" s="11"/>
      <c r="E9" s="21" t="s">
        <v>57</v>
      </c>
      <c r="F9" s="7" t="s">
        <v>0</v>
      </c>
      <c r="G9" s="1" t="s">
        <v>0</v>
      </c>
      <c r="H9" s="1" t="s">
        <v>0</v>
      </c>
      <c r="I9" s="3" t="str">
        <f t="shared" si="0"/>
        <v/>
      </c>
    </row>
    <row r="10" spans="1:9" ht="15" customHeight="1" x14ac:dyDescent="0.35">
      <c r="A10" s="9">
        <v>2021</v>
      </c>
      <c r="B10" s="10" t="s">
        <v>53</v>
      </c>
      <c r="C10" s="23" t="s">
        <v>52</v>
      </c>
      <c r="D10" s="11"/>
      <c r="E10" s="7" t="s">
        <v>0</v>
      </c>
      <c r="F10" s="12" t="s">
        <v>68</v>
      </c>
      <c r="G10" s="1" t="s">
        <v>0</v>
      </c>
      <c r="H10" s="1">
        <v>0</v>
      </c>
      <c r="I10" s="3" t="str">
        <f t="shared" ref="I10:I14" si="1">IF(OR(AND(G10&gt;1,G10&lt;&gt;"-"),AND(H10&gt;1,H10&lt;&gt;"-")),"Can exchange","")</f>
        <v/>
      </c>
    </row>
    <row r="11" spans="1:9" ht="15" customHeight="1" x14ac:dyDescent="0.35">
      <c r="A11" s="9">
        <v>2022</v>
      </c>
      <c r="B11" s="10" t="s">
        <v>53</v>
      </c>
      <c r="C11" s="23" t="s">
        <v>52</v>
      </c>
      <c r="D11" s="11"/>
      <c r="E11" s="12" t="s">
        <v>69</v>
      </c>
      <c r="F11" s="7" t="s">
        <v>0</v>
      </c>
      <c r="G11" s="1">
        <v>0</v>
      </c>
      <c r="H11" s="1" t="s">
        <v>0</v>
      </c>
      <c r="I11" s="3" t="str">
        <f t="shared" si="1"/>
        <v/>
      </c>
    </row>
    <row r="12" spans="1:9" ht="15" customHeight="1" x14ac:dyDescent="0.35">
      <c r="A12" s="9">
        <v>2023</v>
      </c>
      <c r="B12" s="10" t="s">
        <v>53</v>
      </c>
      <c r="C12" s="23" t="s">
        <v>52</v>
      </c>
      <c r="D12" s="11"/>
      <c r="E12" s="7" t="s">
        <v>0</v>
      </c>
      <c r="F12" s="21" t="s">
        <v>70</v>
      </c>
      <c r="G12" s="1" t="s">
        <v>0</v>
      </c>
      <c r="H12" s="1" t="s">
        <v>0</v>
      </c>
      <c r="I12" s="3" t="str">
        <f t="shared" si="1"/>
        <v/>
      </c>
    </row>
    <row r="13" spans="1:9" ht="15" customHeight="1" x14ac:dyDescent="0.35">
      <c r="A13" s="9">
        <v>2024</v>
      </c>
      <c r="B13" s="10" t="s">
        <v>53</v>
      </c>
      <c r="C13" s="23" t="s">
        <v>52</v>
      </c>
      <c r="D13" s="11"/>
      <c r="E13" s="21" t="s">
        <v>85</v>
      </c>
      <c r="F13" s="7" t="s">
        <v>0</v>
      </c>
      <c r="G13" s="1" t="s">
        <v>0</v>
      </c>
      <c r="H13" s="1" t="s">
        <v>0</v>
      </c>
      <c r="I13" s="3" t="str">
        <f t="shared" si="1"/>
        <v/>
      </c>
    </row>
    <row r="14" spans="1:9" ht="15" customHeight="1" x14ac:dyDescent="0.35">
      <c r="A14" s="9">
        <v>2025</v>
      </c>
      <c r="B14" s="10" t="s">
        <v>53</v>
      </c>
      <c r="C14" s="23" t="s">
        <v>52</v>
      </c>
      <c r="D14" s="11"/>
      <c r="E14" s="7" t="s">
        <v>0</v>
      </c>
      <c r="F14" s="12" t="s">
        <v>86</v>
      </c>
      <c r="G14" s="1" t="s">
        <v>0</v>
      </c>
      <c r="H14" s="20">
        <v>0</v>
      </c>
      <c r="I14" s="3" t="str">
        <f t="shared" si="1"/>
        <v/>
      </c>
    </row>
  </sheetData>
  <autoFilter ref="B2:F2" xr:uid="{00000000-0001-0000-0000-000000000000}"/>
  <mergeCells count="4">
    <mergeCell ref="A1:A2"/>
    <mergeCell ref="C1:D1"/>
    <mergeCell ref="E1:F1"/>
    <mergeCell ref="G1:H1"/>
  </mergeCells>
  <phoneticPr fontId="8" type="noConversion"/>
  <conditionalFormatting sqref="G3 G7">
    <cfRule type="containsText" dxfId="135" priority="63" operator="containsText" text="*-">
      <formula>NOT(ISERROR(SEARCH(("*-"),(G3))))</formula>
    </cfRule>
  </conditionalFormatting>
  <conditionalFormatting sqref="G7 G3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ntainsText" dxfId="134" priority="59" operator="containsText" text="*-">
      <formula>NOT(ISERROR(SEARCH(("*-"),(H6))))</formula>
    </cfRule>
  </conditionalFormatting>
  <conditionalFormatting sqref="H6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133" priority="57" operator="containsText" text="*-">
      <formula>NOT(ISERROR(SEARCH(("*-"),(H3))))</formula>
    </cfRule>
  </conditionalFormatting>
  <conditionalFormatting sqref="H3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132" priority="55" operator="containsText" text="*-">
      <formula>NOT(ISERROR(SEARCH(("*-"),(G4))))</formula>
    </cfRule>
  </conditionalFormatting>
  <conditionalFormatting sqref="G4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ntainsText" dxfId="131" priority="53" operator="containsText" text="*-">
      <formula>NOT(ISERROR(SEARCH(("*-"),(H5))))</formula>
    </cfRule>
  </conditionalFormatting>
  <conditionalFormatting sqref="H5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">
    <cfRule type="containsText" dxfId="130" priority="51" operator="containsText" text="*-">
      <formula>NOT(ISERROR(SEARCH(("*-"),(G6))))</formula>
    </cfRule>
  </conditionalFormatting>
  <conditionalFormatting sqref="G6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ntainsText" dxfId="129" priority="49" operator="containsText" text="*-">
      <formula>NOT(ISERROR(SEARCH(("*-"),(H7))))</formula>
    </cfRule>
  </conditionalFormatting>
  <conditionalFormatting sqref="H7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:H10">
    <cfRule type="containsText" dxfId="128" priority="41" operator="containsText" text="*-">
      <formula>NOT(ISERROR(SEARCH(("*-"),(H9))))</formula>
    </cfRule>
  </conditionalFormatting>
  <conditionalFormatting sqref="H9:H10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0 G12">
    <cfRule type="containsText" dxfId="127" priority="43" operator="containsText" text="*-">
      <formula>NOT(ISERROR(SEARCH(("*-"),(G10))))</formula>
    </cfRule>
  </conditionalFormatting>
  <conditionalFormatting sqref="G10 G12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">
    <cfRule type="containsText" dxfId="126" priority="33" operator="containsText" text="*-">
      <formula>NOT(ISERROR(SEARCH(("*-"),(H8))))</formula>
    </cfRule>
  </conditionalFormatting>
  <conditionalFormatting sqref="H8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">
    <cfRule type="containsText" dxfId="125" priority="31" operator="containsText" text="*-">
      <formula>NOT(ISERROR(SEARCH(("*-"),(G8))))</formula>
    </cfRule>
  </conditionalFormatting>
  <conditionalFormatting sqref="G8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ntainsText" dxfId="124" priority="29" operator="containsText" text="*-">
      <formula>NOT(ISERROR(SEARCH(("*-"),(G11))))</formula>
    </cfRule>
  </conditionalFormatting>
  <conditionalFormatting sqref="G11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ntainsText" dxfId="123" priority="27" operator="containsText" text="*-">
      <formula>NOT(ISERROR(SEARCH(("*-"),(H11))))</formula>
    </cfRule>
  </conditionalFormatting>
  <conditionalFormatting sqref="H11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122" priority="17" operator="containsText" text="*-">
      <formula>NOT(ISERROR(SEARCH(("*-"),(H13))))</formula>
    </cfRule>
  </conditionalFormatting>
  <conditionalFormatting sqref="H13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121" priority="13" operator="containsText" text="*-">
      <formula>NOT(ISERROR(SEARCH(("*-"),(H14))))</formula>
    </cfRule>
  </conditionalFormatting>
  <conditionalFormatting sqref="H14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4">
    <cfRule type="containsText" dxfId="120" priority="11" operator="containsText" text="*-">
      <formula>NOT(ISERROR(SEARCH(("*-"),(G14))))</formula>
    </cfRule>
  </conditionalFormatting>
  <conditionalFormatting sqref="G1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27" priority="9" operator="containsText" text="*-">
      <formula>NOT(ISERROR(SEARCH(("*-"),(H4))))</formula>
    </cfRule>
  </conditionalFormatting>
  <conditionalFormatting sqref="H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26" priority="7" operator="containsText" text="*-">
      <formula>NOT(ISERROR(SEARCH(("*-"),(G5))))</formula>
    </cfRule>
  </conditionalFormatting>
  <conditionalFormatting sqref="G5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">
    <cfRule type="containsText" dxfId="25" priority="5" operator="containsText" text="*-">
      <formula>NOT(ISERROR(SEARCH(("*-"),(G9))))</formula>
    </cfRule>
  </conditionalFormatting>
  <conditionalFormatting sqref="G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24" priority="3" operator="containsText" text="*-">
      <formula>NOT(ISERROR(SEARCH(("*-"),(H12))))</formula>
    </cfRule>
  </conditionalFormatting>
  <conditionalFormatting sqref="H1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3">
    <cfRule type="containsText" dxfId="23" priority="1" operator="containsText" text="*-">
      <formula>NOT(ISERROR(SEARCH(("*-"),(G13))))</formula>
    </cfRule>
  </conditionalFormatting>
  <conditionalFormatting sqref="G1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>
      <pane xSplit="9" ySplit="2" topLeftCell="K3" activePane="bottomRight" state="frozen"/>
      <selection pane="topRight" activeCell="H1" sqref="H1"/>
      <selection pane="bottomLeft" activeCell="A3" sqref="A3"/>
      <selection pane="bottomRight" activeCell="H12" sqref="H12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26" t="s">
        <v>1</v>
      </c>
      <c r="B1" s="25"/>
      <c r="C1" s="28" t="s">
        <v>2</v>
      </c>
      <c r="D1" s="29"/>
      <c r="E1" s="30" t="s">
        <v>3</v>
      </c>
      <c r="F1" s="31"/>
      <c r="G1" s="32" t="s">
        <v>5</v>
      </c>
      <c r="H1" s="33"/>
      <c r="I1" s="2"/>
    </row>
    <row r="2" spans="1:9" ht="15" customHeight="1" x14ac:dyDescent="0.35">
      <c r="A2" s="27"/>
      <c r="B2" s="25" t="s">
        <v>81</v>
      </c>
      <c r="C2" s="6" t="s">
        <v>82</v>
      </c>
      <c r="D2" s="6" t="s">
        <v>83</v>
      </c>
      <c r="E2" s="8" t="s">
        <v>21</v>
      </c>
      <c r="F2" s="8" t="s">
        <v>22</v>
      </c>
      <c r="G2" s="19" t="s">
        <v>21</v>
      </c>
      <c r="H2" s="19" t="s">
        <v>22</v>
      </c>
      <c r="I2" s="2"/>
    </row>
    <row r="3" spans="1:9" ht="15" customHeight="1" x14ac:dyDescent="0.35">
      <c r="A3" s="9">
        <v>2014</v>
      </c>
      <c r="B3" s="10" t="s">
        <v>53</v>
      </c>
      <c r="C3" s="23" t="s">
        <v>52</v>
      </c>
      <c r="D3" s="5"/>
      <c r="E3" s="12" t="s">
        <v>25</v>
      </c>
      <c r="F3" s="7" t="s">
        <v>0</v>
      </c>
      <c r="G3" s="20">
        <v>0</v>
      </c>
      <c r="H3" s="1" t="s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9">
        <v>2015</v>
      </c>
      <c r="B4" s="10" t="s">
        <v>53</v>
      </c>
      <c r="C4" s="23" t="s">
        <v>52</v>
      </c>
      <c r="D4" s="5"/>
      <c r="E4" s="7" t="s">
        <v>0</v>
      </c>
      <c r="F4" s="21" t="s">
        <v>23</v>
      </c>
      <c r="G4" s="1" t="s">
        <v>0</v>
      </c>
      <c r="H4" s="1" t="s">
        <v>0</v>
      </c>
      <c r="I4" s="3" t="str">
        <f t="shared" ref="I4:I9" si="0">IF(OR(AND(G4&gt;1,G4&lt;&gt;"-"),AND(H4&gt;1,H4&lt;&gt;"-")),"Can exchange","")</f>
        <v/>
      </c>
    </row>
    <row r="5" spans="1:9" ht="15" customHeight="1" x14ac:dyDescent="0.35">
      <c r="A5" s="9">
        <v>2016</v>
      </c>
      <c r="B5" s="10" t="s">
        <v>53</v>
      </c>
      <c r="C5" s="23" t="s">
        <v>52</v>
      </c>
      <c r="D5" s="5"/>
      <c r="E5" s="21" t="s">
        <v>24</v>
      </c>
      <c r="F5" s="7" t="s">
        <v>0</v>
      </c>
      <c r="G5" s="1" t="s">
        <v>0</v>
      </c>
      <c r="H5" s="1" t="s">
        <v>0</v>
      </c>
      <c r="I5" s="3" t="str">
        <f t="shared" si="0"/>
        <v/>
      </c>
    </row>
    <row r="6" spans="1:9" ht="15" customHeight="1" x14ac:dyDescent="0.35">
      <c r="A6" s="9">
        <v>2017</v>
      </c>
      <c r="B6" s="10" t="s">
        <v>53</v>
      </c>
      <c r="C6" s="23" t="s">
        <v>52</v>
      </c>
      <c r="D6" s="5"/>
      <c r="E6" s="7" t="s">
        <v>0</v>
      </c>
      <c r="F6" s="12" t="s">
        <v>29</v>
      </c>
      <c r="G6" s="1" t="s">
        <v>0</v>
      </c>
      <c r="H6" s="20">
        <v>0</v>
      </c>
      <c r="I6" s="3" t="str">
        <f t="shared" si="0"/>
        <v/>
      </c>
    </row>
    <row r="7" spans="1:9" ht="15" customHeight="1" x14ac:dyDescent="0.35">
      <c r="A7" s="9">
        <v>2018</v>
      </c>
      <c r="B7" s="10" t="s">
        <v>53</v>
      </c>
      <c r="C7" s="23" t="s">
        <v>52</v>
      </c>
      <c r="D7" s="5"/>
      <c r="E7" s="12" t="s">
        <v>28</v>
      </c>
      <c r="F7" s="7" t="s">
        <v>0</v>
      </c>
      <c r="G7" s="20">
        <v>0</v>
      </c>
      <c r="H7" s="1" t="s">
        <v>0</v>
      </c>
      <c r="I7" s="3" t="str">
        <f t="shared" si="0"/>
        <v/>
      </c>
    </row>
    <row r="8" spans="1:9" ht="15" customHeight="1" x14ac:dyDescent="0.35">
      <c r="A8" s="9">
        <v>2019</v>
      </c>
      <c r="B8" s="10" t="s">
        <v>53</v>
      </c>
      <c r="C8" s="23" t="s">
        <v>52</v>
      </c>
      <c r="D8" s="11"/>
      <c r="E8" s="7" t="s">
        <v>0</v>
      </c>
      <c r="F8" s="12" t="s">
        <v>59</v>
      </c>
      <c r="G8" s="1" t="s">
        <v>0</v>
      </c>
      <c r="H8" s="20">
        <v>0</v>
      </c>
      <c r="I8" s="3" t="str">
        <f t="shared" si="0"/>
        <v/>
      </c>
    </row>
    <row r="9" spans="1:9" ht="15" customHeight="1" x14ac:dyDescent="0.35">
      <c r="A9" s="9">
        <v>2020</v>
      </c>
      <c r="B9" s="10" t="s">
        <v>53</v>
      </c>
      <c r="C9" s="23" t="s">
        <v>52</v>
      </c>
      <c r="D9" s="5"/>
      <c r="E9" s="21" t="s">
        <v>57</v>
      </c>
      <c r="F9" s="7" t="s">
        <v>0</v>
      </c>
      <c r="G9" s="1" t="s">
        <v>0</v>
      </c>
      <c r="H9" s="1" t="s">
        <v>0</v>
      </c>
      <c r="I9" s="3" t="str">
        <f t="shared" si="0"/>
        <v/>
      </c>
    </row>
    <row r="10" spans="1:9" ht="15" customHeight="1" x14ac:dyDescent="0.35">
      <c r="A10" s="9">
        <v>2021</v>
      </c>
      <c r="B10" s="10" t="s">
        <v>53</v>
      </c>
      <c r="C10" s="23" t="s">
        <v>52</v>
      </c>
      <c r="D10" s="5"/>
      <c r="E10" s="7" t="s">
        <v>0</v>
      </c>
      <c r="F10" s="12" t="s">
        <v>69</v>
      </c>
      <c r="G10" s="1" t="s">
        <v>0</v>
      </c>
      <c r="H10" s="20">
        <v>0</v>
      </c>
      <c r="I10" s="3" t="str">
        <f t="shared" ref="I10:I12" si="1">IF(OR(AND(G10&gt;1,G10&lt;&gt;"-"),AND(H10&gt;1,H10&lt;&gt;"-")),"Can exchange","")</f>
        <v/>
      </c>
    </row>
    <row r="11" spans="1:9" ht="15" customHeight="1" x14ac:dyDescent="0.35">
      <c r="A11" s="9">
        <v>2022</v>
      </c>
      <c r="B11" s="10" t="s">
        <v>53</v>
      </c>
      <c r="C11" s="23" t="s">
        <v>52</v>
      </c>
      <c r="D11" s="5"/>
      <c r="E11" s="12" t="s">
        <v>76</v>
      </c>
      <c r="F11" s="7" t="s">
        <v>0</v>
      </c>
      <c r="G11" s="20">
        <v>0</v>
      </c>
      <c r="H11" s="1" t="s">
        <v>0</v>
      </c>
      <c r="I11" s="3" t="str">
        <f t="shared" si="1"/>
        <v/>
      </c>
    </row>
    <row r="12" spans="1:9" ht="15" customHeight="1" x14ac:dyDescent="0.35">
      <c r="A12" s="9">
        <v>2023</v>
      </c>
      <c r="B12" s="10" t="s">
        <v>53</v>
      </c>
      <c r="C12" s="23" t="s">
        <v>52</v>
      </c>
      <c r="D12" s="5"/>
      <c r="E12" s="7" t="s">
        <v>0</v>
      </c>
      <c r="F12" s="21" t="s">
        <v>70</v>
      </c>
      <c r="G12" s="1" t="s">
        <v>0</v>
      </c>
      <c r="H12" s="1" t="s">
        <v>0</v>
      </c>
      <c r="I12" s="3" t="str">
        <f t="shared" si="1"/>
        <v/>
      </c>
    </row>
    <row r="13" spans="1:9" ht="15" customHeight="1" x14ac:dyDescent="0.35">
      <c r="A13" s="9">
        <v>2024</v>
      </c>
      <c r="B13" s="10" t="s">
        <v>53</v>
      </c>
      <c r="C13" s="23" t="s">
        <v>52</v>
      </c>
      <c r="D13" s="5"/>
      <c r="E13" s="12" t="s">
        <v>87</v>
      </c>
      <c r="F13" s="7" t="s">
        <v>0</v>
      </c>
      <c r="G13" s="20">
        <v>0</v>
      </c>
      <c r="H13" s="1" t="s">
        <v>0</v>
      </c>
      <c r="I13" s="3" t="str">
        <f t="shared" ref="I13:I14" si="2">IF(OR(AND(G13&gt;1,G13&lt;&gt;"-"),AND(H13&gt;1,H13&lt;&gt;"-")),"Can exchange","")</f>
        <v/>
      </c>
    </row>
    <row r="14" spans="1:9" ht="15" customHeight="1" x14ac:dyDescent="0.35">
      <c r="A14" s="9">
        <v>2025</v>
      </c>
      <c r="B14" s="10" t="s">
        <v>53</v>
      </c>
      <c r="C14" s="23" t="s">
        <v>52</v>
      </c>
      <c r="D14" s="5"/>
      <c r="E14" s="7" t="s">
        <v>0</v>
      </c>
      <c r="F14" s="12" t="s">
        <v>88</v>
      </c>
      <c r="G14" s="1" t="s">
        <v>0</v>
      </c>
      <c r="H14" s="20">
        <v>0</v>
      </c>
      <c r="I14" s="3" t="str">
        <f t="shared" si="2"/>
        <v/>
      </c>
    </row>
  </sheetData>
  <autoFilter ref="B2:F2" xr:uid="{00000000-0001-0000-0100-000000000000}"/>
  <mergeCells count="4">
    <mergeCell ref="A1:A2"/>
    <mergeCell ref="C1:D1"/>
    <mergeCell ref="E1:F1"/>
    <mergeCell ref="G1:H1"/>
  </mergeCells>
  <phoneticPr fontId="8" type="noConversion"/>
  <conditionalFormatting sqref="G6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 G7">
    <cfRule type="containsText" dxfId="114" priority="59" operator="containsText" text="*-">
      <formula>NOT(ISERROR(SEARCH(("*-"),(G3))))</formula>
    </cfRule>
  </conditionalFormatting>
  <conditionalFormatting sqref="G7 G3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ntainsText" dxfId="113" priority="57" operator="containsText" text="*-">
      <formula>NOT(ISERROR(SEARCH(("*-"),(H6))))</formula>
    </cfRule>
  </conditionalFormatting>
  <conditionalFormatting sqref="H6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112" priority="55" operator="containsText" text="*-">
      <formula>NOT(ISERROR(SEARCH(("*-"),(H3))))</formula>
    </cfRule>
  </conditionalFormatting>
  <conditionalFormatting sqref="H3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111" priority="53" operator="containsText" text="*-">
      <formula>NOT(ISERROR(SEARCH(("*-"),(G4))))</formula>
    </cfRule>
  </conditionalFormatting>
  <conditionalFormatting sqref="G4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ntainsText" dxfId="110" priority="51" operator="containsText" text="*-">
      <formula>NOT(ISERROR(SEARCH(("*-"),(H5))))</formula>
    </cfRule>
  </conditionalFormatting>
  <conditionalFormatting sqref="H5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">
    <cfRule type="containsText" dxfId="109" priority="49" operator="containsText" text="*-">
      <formula>NOT(ISERROR(SEARCH(("*-"),(G6))))</formula>
    </cfRule>
  </conditionalFormatting>
  <conditionalFormatting sqref="H7">
    <cfRule type="containsText" dxfId="108" priority="47" operator="containsText" text="*-">
      <formula>NOT(ISERROR(SEARCH(("*-"),(H7))))</formula>
    </cfRule>
  </conditionalFormatting>
  <conditionalFormatting sqref="H8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 G10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0 G12">
    <cfRule type="containsText" dxfId="107" priority="39" operator="containsText" text="*-">
      <formula>NOT(ISERROR(SEARCH(("*-"),(G10))))</formula>
    </cfRule>
  </conditionalFormatting>
  <conditionalFormatting sqref="H9">
    <cfRule type="containsText" dxfId="106" priority="37" operator="containsText" text="*-">
      <formula>NOT(ISERROR(SEARCH(("*-"),(H9))))</formula>
    </cfRule>
  </conditionalFormatting>
  <conditionalFormatting sqref="H9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">
    <cfRule type="containsText" dxfId="105" priority="35" operator="containsText" text="*-">
      <formula>NOT(ISERROR(SEARCH(("*-"),(H8))))</formula>
    </cfRule>
  </conditionalFormatting>
  <conditionalFormatting sqref="G8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">
    <cfRule type="containsText" dxfId="104" priority="33" operator="containsText" text="*-">
      <formula>NOT(ISERROR(SEARCH(("*-"),(G8))))</formula>
    </cfRule>
  </conditionalFormatting>
  <conditionalFormatting sqref="H10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">
    <cfRule type="containsText" dxfId="103" priority="31" operator="containsText" text="*-">
      <formula>NOT(ISERROR(SEARCH(("*-"),(H10))))</formula>
    </cfRule>
  </conditionalFormatting>
  <conditionalFormatting sqref="G11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ntainsText" dxfId="102" priority="27" operator="containsText" text="*-">
      <formula>NOT(ISERROR(SEARCH(("*-"),(G11))))</formula>
    </cfRule>
  </conditionalFormatting>
  <conditionalFormatting sqref="H11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ntainsText" dxfId="101" priority="25" operator="containsText" text="*-">
      <formula>NOT(ISERROR(SEARCH(("*-"),(H11))))</formula>
    </cfRule>
  </conditionalFormatting>
  <conditionalFormatting sqref="G14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4">
    <cfRule type="containsText" dxfId="96" priority="15" operator="containsText" text="*-">
      <formula>NOT(ISERROR(SEARCH(("*-"),(G14))))</formula>
    </cfRule>
  </conditionalFormatting>
  <conditionalFormatting sqref="G1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3">
    <cfRule type="containsText" dxfId="95" priority="13" operator="containsText" text="*-">
      <formula>NOT(ISERROR(SEARCH(("*-"),(G13))))</formula>
    </cfRule>
  </conditionalFormatting>
  <conditionalFormatting sqref="H1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94" priority="11" operator="containsText" text="*-">
      <formula>NOT(ISERROR(SEARCH(("*-"),(H13))))</formula>
    </cfRule>
  </conditionalFormatting>
  <conditionalFormatting sqref="H14">
    <cfRule type="colorScale" priority="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ntainsText" dxfId="93" priority="10" operator="containsText" text="*-">
      <formula>NOT(ISERROR(SEARCH(("*-"),(H14))))</formula>
    </cfRule>
  </conditionalFormatting>
  <conditionalFormatting sqref="H4">
    <cfRule type="containsText" dxfId="22" priority="7" operator="containsText" text="*-">
      <formula>NOT(ISERROR(SEARCH(("*-"),(H4))))</formula>
    </cfRule>
  </conditionalFormatting>
  <conditionalFormatting sqref="H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21" priority="5" operator="containsText" text="*-">
      <formula>NOT(ISERROR(SEARCH(("*-"),(G5))))</formula>
    </cfRule>
  </conditionalFormatting>
  <conditionalFormatting sqref="G5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">
    <cfRule type="containsText" dxfId="20" priority="3" operator="containsText" text="*-">
      <formula>NOT(ISERROR(SEARCH(("*-"),(G9))))</formula>
    </cfRule>
  </conditionalFormatting>
  <conditionalFormatting sqref="G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19" priority="1" operator="containsText" text="*-">
      <formula>NOT(ISERROR(SEARCH(("*-"),(H12))))</formula>
    </cfRule>
  </conditionalFormatting>
  <conditionalFormatting sqref="H12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H12" sqref="H12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26" t="s">
        <v>1</v>
      </c>
      <c r="B1" s="25"/>
      <c r="C1" s="28" t="s">
        <v>2</v>
      </c>
      <c r="D1" s="29"/>
      <c r="E1" s="30" t="s">
        <v>3</v>
      </c>
      <c r="F1" s="31"/>
      <c r="G1" s="32" t="s">
        <v>6</v>
      </c>
      <c r="H1" s="33"/>
      <c r="I1" s="2"/>
    </row>
    <row r="2" spans="1:9" ht="15" customHeight="1" x14ac:dyDescent="0.35">
      <c r="A2" s="27"/>
      <c r="B2" s="25" t="s">
        <v>81</v>
      </c>
      <c r="C2" s="6" t="s">
        <v>82</v>
      </c>
      <c r="D2" s="6" t="s">
        <v>83</v>
      </c>
      <c r="E2" s="8" t="s">
        <v>21</v>
      </c>
      <c r="F2" s="8" t="s">
        <v>22</v>
      </c>
      <c r="G2" s="19" t="s">
        <v>21</v>
      </c>
      <c r="H2" s="19" t="s">
        <v>22</v>
      </c>
      <c r="I2" s="2"/>
    </row>
    <row r="3" spans="1:9" ht="15" customHeight="1" x14ac:dyDescent="0.35">
      <c r="A3" s="9">
        <v>2014</v>
      </c>
      <c r="B3" s="10" t="s">
        <v>53</v>
      </c>
      <c r="C3" s="23" t="s">
        <v>52</v>
      </c>
      <c r="D3" s="5"/>
      <c r="E3" s="12" t="s">
        <v>30</v>
      </c>
      <c r="F3" s="7" t="s">
        <v>0</v>
      </c>
      <c r="G3" s="20">
        <v>0</v>
      </c>
      <c r="H3" s="1" t="s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9">
        <v>2015</v>
      </c>
      <c r="B4" s="10" t="s">
        <v>53</v>
      </c>
      <c r="C4" s="23" t="s">
        <v>52</v>
      </c>
      <c r="D4" s="5"/>
      <c r="E4" s="7" t="s">
        <v>0</v>
      </c>
      <c r="F4" s="21" t="s">
        <v>23</v>
      </c>
      <c r="G4" s="1" t="s">
        <v>0</v>
      </c>
      <c r="H4" s="1" t="s">
        <v>0</v>
      </c>
      <c r="I4" s="3" t="str">
        <f t="shared" ref="I4:I7" si="0">IF(OR(AND(G4&gt;1,G4&lt;&gt;"-"),AND(H4&gt;1,H4&lt;&gt;"-")),"Can exchange","")</f>
        <v/>
      </c>
    </row>
    <row r="5" spans="1:9" ht="15" customHeight="1" x14ac:dyDescent="0.35">
      <c r="A5" s="9">
        <v>2016</v>
      </c>
      <c r="B5" s="10" t="s">
        <v>53</v>
      </c>
      <c r="C5" s="23" t="s">
        <v>52</v>
      </c>
      <c r="D5" s="5"/>
      <c r="E5" s="21" t="s">
        <v>24</v>
      </c>
      <c r="F5" s="7" t="s">
        <v>0</v>
      </c>
      <c r="G5" s="1" t="s">
        <v>0</v>
      </c>
      <c r="H5" s="1" t="s">
        <v>0</v>
      </c>
      <c r="I5" s="3" t="str">
        <f t="shared" si="0"/>
        <v/>
      </c>
    </row>
    <row r="6" spans="1:9" ht="15" customHeight="1" x14ac:dyDescent="0.35">
      <c r="A6" s="9">
        <v>2017</v>
      </c>
      <c r="B6" s="10" t="s">
        <v>53</v>
      </c>
      <c r="C6" s="23" t="s">
        <v>52</v>
      </c>
      <c r="D6" s="5"/>
      <c r="E6" s="7" t="s">
        <v>0</v>
      </c>
      <c r="F6" s="12" t="s">
        <v>31</v>
      </c>
      <c r="G6" s="1" t="s">
        <v>0</v>
      </c>
      <c r="H6" s="20">
        <v>0</v>
      </c>
      <c r="I6" s="3" t="str">
        <f t="shared" si="0"/>
        <v/>
      </c>
    </row>
    <row r="7" spans="1:9" ht="15" customHeight="1" x14ac:dyDescent="0.35">
      <c r="A7" s="9">
        <v>2018</v>
      </c>
      <c r="B7" s="10" t="s">
        <v>53</v>
      </c>
      <c r="C7" s="23" t="s">
        <v>52</v>
      </c>
      <c r="D7" s="5"/>
      <c r="E7" s="12" t="s">
        <v>32</v>
      </c>
      <c r="F7" s="7" t="s">
        <v>0</v>
      </c>
      <c r="G7" s="20">
        <v>0</v>
      </c>
      <c r="H7" s="1" t="s">
        <v>0</v>
      </c>
      <c r="I7" s="3" t="str">
        <f t="shared" si="0"/>
        <v/>
      </c>
    </row>
    <row r="8" spans="1:9" ht="15" customHeight="1" x14ac:dyDescent="0.35">
      <c r="A8" s="9">
        <v>2019</v>
      </c>
      <c r="B8" s="10" t="s">
        <v>53</v>
      </c>
      <c r="C8" s="23" t="s">
        <v>52</v>
      </c>
      <c r="D8" s="11"/>
      <c r="E8" s="7" t="s">
        <v>0</v>
      </c>
      <c r="F8" s="12" t="s">
        <v>60</v>
      </c>
      <c r="G8" s="1" t="s">
        <v>0</v>
      </c>
      <c r="H8" s="20">
        <v>0</v>
      </c>
      <c r="I8" s="3"/>
    </row>
    <row r="9" spans="1:9" ht="15" customHeight="1" x14ac:dyDescent="0.35">
      <c r="A9" s="9">
        <v>2020</v>
      </c>
      <c r="B9" s="10" t="s">
        <v>53</v>
      </c>
      <c r="C9" s="23" t="s">
        <v>52</v>
      </c>
      <c r="D9" s="11"/>
      <c r="E9" s="21" t="s">
        <v>57</v>
      </c>
      <c r="F9" s="7" t="s">
        <v>0</v>
      </c>
      <c r="G9" s="1" t="s">
        <v>0</v>
      </c>
      <c r="H9" s="1" t="s">
        <v>0</v>
      </c>
    </row>
    <row r="10" spans="1:9" ht="15" customHeight="1" x14ac:dyDescent="0.35">
      <c r="A10" s="9">
        <v>2021</v>
      </c>
      <c r="B10" s="10" t="s">
        <v>53</v>
      </c>
      <c r="C10" s="23" t="s">
        <v>52</v>
      </c>
      <c r="D10" s="11"/>
      <c r="E10" s="7" t="s">
        <v>0</v>
      </c>
      <c r="F10" s="21" t="s">
        <v>70</v>
      </c>
      <c r="G10" s="1" t="s">
        <v>0</v>
      </c>
      <c r="H10" s="1" t="s">
        <v>0</v>
      </c>
    </row>
    <row r="11" spans="1:9" ht="15" customHeight="1" x14ac:dyDescent="0.35">
      <c r="A11" s="9">
        <v>2022</v>
      </c>
      <c r="B11" s="10" t="s">
        <v>53</v>
      </c>
      <c r="C11" s="23" t="s">
        <v>52</v>
      </c>
      <c r="D11" s="11"/>
      <c r="E11" s="12" t="s">
        <v>77</v>
      </c>
      <c r="F11" s="7" t="s">
        <v>0</v>
      </c>
      <c r="G11" s="20">
        <v>0</v>
      </c>
      <c r="H11" s="1" t="s">
        <v>0</v>
      </c>
    </row>
    <row r="12" spans="1:9" ht="15" customHeight="1" x14ac:dyDescent="0.35">
      <c r="A12" s="9">
        <v>2023</v>
      </c>
      <c r="B12" s="10" t="s">
        <v>53</v>
      </c>
      <c r="C12" s="23" t="s">
        <v>52</v>
      </c>
      <c r="D12" s="11"/>
      <c r="E12" s="7" t="s">
        <v>0</v>
      </c>
      <c r="F12" s="21" t="s">
        <v>70</v>
      </c>
      <c r="G12" s="1" t="s">
        <v>0</v>
      </c>
      <c r="H12" s="1" t="s">
        <v>0</v>
      </c>
    </row>
    <row r="13" spans="1:9" ht="15" customHeight="1" x14ac:dyDescent="0.35">
      <c r="A13" s="9">
        <v>2024</v>
      </c>
      <c r="B13" s="10" t="s">
        <v>53</v>
      </c>
      <c r="C13" s="23" t="s">
        <v>52</v>
      </c>
      <c r="D13" s="11"/>
      <c r="E13" s="12" t="s">
        <v>89</v>
      </c>
      <c r="F13" s="7" t="s">
        <v>0</v>
      </c>
      <c r="G13" s="20">
        <v>0</v>
      </c>
      <c r="H13" s="1" t="s">
        <v>0</v>
      </c>
      <c r="I13" s="3" t="str">
        <f t="shared" ref="I13:I14" si="1">IF(OR(AND(G13&gt;1,G13&lt;&gt;"-"),AND(H13&gt;1,H13&lt;&gt;"-")),"Can exchange","")</f>
        <v/>
      </c>
    </row>
    <row r="14" spans="1:9" ht="15" customHeight="1" x14ac:dyDescent="0.35">
      <c r="A14" s="9">
        <v>2025</v>
      </c>
      <c r="B14" s="10" t="s">
        <v>53</v>
      </c>
      <c r="C14" s="23" t="s">
        <v>52</v>
      </c>
      <c r="D14" s="11"/>
      <c r="E14" s="7" t="s">
        <v>0</v>
      </c>
      <c r="F14" s="12" t="s">
        <v>90</v>
      </c>
      <c r="G14" s="1" t="s">
        <v>0</v>
      </c>
      <c r="H14" s="20">
        <v>0</v>
      </c>
      <c r="I14" s="3" t="str">
        <f t="shared" si="1"/>
        <v/>
      </c>
    </row>
  </sheetData>
  <autoFilter ref="B2:F2" xr:uid="{00000000-0001-0000-0200-000000000000}"/>
  <mergeCells count="4">
    <mergeCell ref="A1:A2"/>
    <mergeCell ref="C1:D1"/>
    <mergeCell ref="E1:F1"/>
    <mergeCell ref="G1:H1"/>
  </mergeCells>
  <phoneticPr fontId="9" type="noConversion"/>
  <conditionalFormatting sqref="G6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 G7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0 G12">
    <cfRule type="colorScale" priority="4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">
    <cfRule type="colorScale" priority="3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lorScale" priority="3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lorScale" priority="3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4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3">
    <cfRule type="colorScale" priority="1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lorScale" priority="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18" priority="9" operator="containsText" text="*-">
      <formula>NOT(ISERROR(SEARCH(("*-"),(H4))))</formula>
    </cfRule>
  </conditionalFormatting>
  <conditionalFormatting sqref="H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17" priority="7" operator="containsText" text="*-">
      <formula>NOT(ISERROR(SEARCH(("*-"),(G5))))</formula>
    </cfRule>
  </conditionalFormatting>
  <conditionalFormatting sqref="G5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">
    <cfRule type="containsText" dxfId="16" priority="5" operator="containsText" text="*-">
      <formula>NOT(ISERROR(SEARCH(("*-"),(G9))))</formula>
    </cfRule>
  </conditionalFormatting>
  <conditionalFormatting sqref="G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">
    <cfRule type="containsText" dxfId="15" priority="3" operator="containsText" text="*-">
      <formula>NOT(ISERROR(SEARCH(("*-"),(H10))))</formula>
    </cfRule>
  </conditionalFormatting>
  <conditionalFormatting sqref="H1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14" priority="1" operator="containsText" text="*-">
      <formula>NOT(ISERROR(SEARCH(("*-"),(H12))))</formula>
    </cfRule>
  </conditionalFormatting>
  <conditionalFormatting sqref="H12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7" operator="containsText" text="*-" id="{694EFF47-226F-4C34-ADD6-D4D9FC296915}">
            <xm:f>NOT(ISERROR(SEARCH(("*-"),('2cents'!G3))))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G3:H3 H8 G6:H7 G4 H5</xm:sqref>
        </x14:conditionalFormatting>
        <x14:conditionalFormatting xmlns:xm="http://schemas.microsoft.com/office/excel/2006/main">
          <x14:cfRule type="containsText" priority="43" operator="containsText" text="*-" id="{FD7DBBF9-0739-44C0-85AC-8B870BD7A54C}">
            <xm:f>NOT(ISERROR(SEARCH(("*-"),('1cent'!G8))))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G8 H9 G12 G10</xm:sqref>
        </x14:conditionalFormatting>
        <x14:conditionalFormatting xmlns:xm="http://schemas.microsoft.com/office/excel/2006/main">
          <x14:cfRule type="containsText" priority="34" operator="containsText" text="*-" id="{B8204363-47DE-49F5-A1B4-06A2334976FC}">
            <xm:f>NOT(ISERROR(SEARCH(("*-"),('2cents'!G11))))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G11</xm:sqref>
        </x14:conditionalFormatting>
        <x14:conditionalFormatting xmlns:xm="http://schemas.microsoft.com/office/excel/2006/main">
          <x14:cfRule type="containsText" priority="32" operator="containsText" text="*-" id="{EC526AB2-E411-48DD-891A-D06220948FBC}">
            <xm:f>NOT(ISERROR(SEARCH(("*-"),('1cent'!H11))))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H11</xm:sqref>
        </x14:conditionalFormatting>
        <x14:conditionalFormatting xmlns:xm="http://schemas.microsoft.com/office/excel/2006/main">
          <x14:cfRule type="containsText" priority="17" operator="containsText" text="*-" id="{3EB96053-FE34-4237-BA25-8D2C2C48FC6A}">
            <xm:f>NOT(ISERROR(SEARCH(("*-"),('1cent'!G14))))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G14</xm:sqref>
        </x14:conditionalFormatting>
        <x14:conditionalFormatting xmlns:xm="http://schemas.microsoft.com/office/excel/2006/main">
          <x14:cfRule type="containsText" priority="16" operator="containsText" text="*-" id="{50603D98-1494-4270-B5C8-15383AE4FAA3}">
            <xm:f>NOT(ISERROR(SEARCH(("*-"),('2cents'!G14))))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G13</xm:sqref>
        </x14:conditionalFormatting>
        <x14:conditionalFormatting xmlns:xm="http://schemas.microsoft.com/office/excel/2006/main">
          <x14:cfRule type="containsText" priority="13" operator="containsText" text="*-" id="{5DE57799-A25D-45D9-B153-861CAFD429F8}">
            <xm:f>NOT(ISERROR(SEARCH(("*-"),('1cent'!H13))))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12" operator="containsText" text="*-" id="{0B22CC51-9ED1-4ED5-B6C6-E1E6F7DE4413}">
            <xm:f>NOT(ISERROR(SEARCH(("*-"),('2cents'!H14))))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H4" sqref="H4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34" t="s">
        <v>1</v>
      </c>
      <c r="B1" s="25"/>
      <c r="C1" s="28" t="s">
        <v>2</v>
      </c>
      <c r="D1" s="36"/>
      <c r="E1" s="30" t="s">
        <v>3</v>
      </c>
      <c r="F1" s="37"/>
      <c r="G1" s="38" t="s">
        <v>7</v>
      </c>
      <c r="H1" s="39"/>
      <c r="I1" s="2"/>
    </row>
    <row r="2" spans="1:9" ht="15" customHeight="1" x14ac:dyDescent="0.35">
      <c r="A2" s="35"/>
      <c r="B2" s="25" t="s">
        <v>81</v>
      </c>
      <c r="C2" s="6" t="s">
        <v>82</v>
      </c>
      <c r="D2" s="6" t="s">
        <v>84</v>
      </c>
      <c r="E2" s="8" t="s">
        <v>21</v>
      </c>
      <c r="F2" s="8" t="s">
        <v>22</v>
      </c>
      <c r="G2" s="19" t="s">
        <v>21</v>
      </c>
      <c r="H2" s="19" t="s">
        <v>22</v>
      </c>
      <c r="I2" s="2"/>
    </row>
    <row r="3" spans="1:9" ht="15" customHeight="1" x14ac:dyDescent="0.35">
      <c r="A3" s="9">
        <v>2014</v>
      </c>
      <c r="B3" s="10" t="s">
        <v>54</v>
      </c>
      <c r="C3" s="23" t="s">
        <v>52</v>
      </c>
      <c r="D3" s="11" t="s">
        <v>56</v>
      </c>
      <c r="E3" s="12" t="s">
        <v>30</v>
      </c>
      <c r="F3" s="7" t="s">
        <v>0</v>
      </c>
      <c r="G3" s="20">
        <v>0</v>
      </c>
      <c r="H3" s="1" t="s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9">
        <v>2015</v>
      </c>
      <c r="B4" s="10" t="s">
        <v>54</v>
      </c>
      <c r="C4" s="23" t="s">
        <v>52</v>
      </c>
      <c r="D4" s="11" t="s">
        <v>56</v>
      </c>
      <c r="E4" s="7" t="s">
        <v>0</v>
      </c>
      <c r="F4" s="21" t="s">
        <v>23</v>
      </c>
      <c r="G4" s="1" t="s">
        <v>0</v>
      </c>
      <c r="H4" s="1" t="s">
        <v>0</v>
      </c>
      <c r="I4" s="3" t="str">
        <f t="shared" ref="I4:I9" si="0">IF(OR(AND(G4&gt;1,G4&lt;&gt;"-"),AND(H4&gt;1,H4&lt;&gt;"-")),"Can exchange","")</f>
        <v/>
      </c>
    </row>
    <row r="5" spans="1:9" ht="15" customHeight="1" x14ac:dyDescent="0.35">
      <c r="A5" s="9">
        <v>2016</v>
      </c>
      <c r="B5" s="10" t="s">
        <v>54</v>
      </c>
      <c r="C5" s="23" t="s">
        <v>52</v>
      </c>
      <c r="D5" s="11" t="s">
        <v>56</v>
      </c>
      <c r="E5" s="21" t="s">
        <v>24</v>
      </c>
      <c r="F5" s="7" t="s">
        <v>0</v>
      </c>
      <c r="G5" s="1" t="s">
        <v>0</v>
      </c>
      <c r="H5" s="1" t="s">
        <v>0</v>
      </c>
      <c r="I5" s="3" t="str">
        <f t="shared" si="0"/>
        <v/>
      </c>
    </row>
    <row r="6" spans="1:9" ht="15" customHeight="1" x14ac:dyDescent="0.35">
      <c r="A6" s="9">
        <v>2017</v>
      </c>
      <c r="B6" s="10" t="s">
        <v>54</v>
      </c>
      <c r="C6" s="23" t="s">
        <v>52</v>
      </c>
      <c r="D6" s="11" t="s">
        <v>56</v>
      </c>
      <c r="E6" s="7" t="s">
        <v>0</v>
      </c>
      <c r="F6" s="12" t="s">
        <v>33</v>
      </c>
      <c r="G6" s="1" t="s">
        <v>0</v>
      </c>
      <c r="H6" s="20">
        <v>0</v>
      </c>
      <c r="I6" s="3" t="str">
        <f t="shared" si="0"/>
        <v/>
      </c>
    </row>
    <row r="7" spans="1:9" ht="15" customHeight="1" x14ac:dyDescent="0.35">
      <c r="A7" s="9">
        <v>2018</v>
      </c>
      <c r="B7" s="10" t="s">
        <v>54</v>
      </c>
      <c r="C7" s="23" t="s">
        <v>52</v>
      </c>
      <c r="D7" s="11" t="s">
        <v>56</v>
      </c>
      <c r="E7" s="12" t="s">
        <v>34</v>
      </c>
      <c r="F7" s="7" t="s">
        <v>0</v>
      </c>
      <c r="G7" s="20">
        <v>0</v>
      </c>
      <c r="H7" s="1" t="s">
        <v>0</v>
      </c>
      <c r="I7" s="3" t="str">
        <f t="shared" si="0"/>
        <v/>
      </c>
    </row>
    <row r="8" spans="1:9" ht="15" customHeight="1" x14ac:dyDescent="0.35">
      <c r="A8" s="9">
        <v>2019</v>
      </c>
      <c r="B8" s="10" t="s">
        <v>54</v>
      </c>
      <c r="C8" s="23" t="s">
        <v>52</v>
      </c>
      <c r="D8" s="11" t="s">
        <v>56</v>
      </c>
      <c r="E8" s="7" t="s">
        <v>0</v>
      </c>
      <c r="F8" s="12" t="s">
        <v>61</v>
      </c>
      <c r="G8" s="1" t="s">
        <v>0</v>
      </c>
      <c r="H8" s="20">
        <v>0</v>
      </c>
      <c r="I8" s="3" t="str">
        <f t="shared" si="0"/>
        <v/>
      </c>
    </row>
    <row r="9" spans="1:9" ht="15" customHeight="1" x14ac:dyDescent="0.35">
      <c r="A9" s="9">
        <v>2020</v>
      </c>
      <c r="B9" s="10" t="s">
        <v>54</v>
      </c>
      <c r="C9" s="23" t="s">
        <v>52</v>
      </c>
      <c r="D9" s="11" t="s">
        <v>56</v>
      </c>
      <c r="E9" s="12" t="s">
        <v>62</v>
      </c>
      <c r="F9" s="7" t="s">
        <v>0</v>
      </c>
      <c r="G9" s="20">
        <v>0</v>
      </c>
      <c r="H9" s="1" t="s">
        <v>0</v>
      </c>
      <c r="I9" s="3" t="str">
        <f t="shared" si="0"/>
        <v/>
      </c>
    </row>
    <row r="10" spans="1:9" ht="15" customHeight="1" x14ac:dyDescent="0.35">
      <c r="A10" s="9">
        <v>2021</v>
      </c>
      <c r="B10" s="10" t="s">
        <v>54</v>
      </c>
      <c r="C10" s="23" t="s">
        <v>52</v>
      </c>
      <c r="D10" s="11" t="s">
        <v>56</v>
      </c>
      <c r="E10" s="7" t="s">
        <v>0</v>
      </c>
      <c r="F10" s="12" t="s">
        <v>71</v>
      </c>
      <c r="G10" s="1" t="s">
        <v>0</v>
      </c>
      <c r="H10" s="20">
        <v>0</v>
      </c>
      <c r="I10" s="3" t="str">
        <f t="shared" ref="I10:I12" si="1">IF(OR(AND(G10&gt;1,G10&lt;&gt;"-"),AND(H10&gt;1,H10&lt;&gt;"-")),"Can exchange","")</f>
        <v/>
      </c>
    </row>
    <row r="11" spans="1:9" ht="15" customHeight="1" x14ac:dyDescent="0.35">
      <c r="A11" s="9">
        <v>2022</v>
      </c>
      <c r="B11" s="10" t="s">
        <v>54</v>
      </c>
      <c r="C11" s="23" t="s">
        <v>52</v>
      </c>
      <c r="D11" s="11" t="s">
        <v>56</v>
      </c>
      <c r="E11" s="12" t="s">
        <v>69</v>
      </c>
      <c r="F11" s="7" t="s">
        <v>0</v>
      </c>
      <c r="G11" s="20">
        <v>0</v>
      </c>
      <c r="H11" s="1" t="s">
        <v>0</v>
      </c>
      <c r="I11" s="3" t="str">
        <f t="shared" si="1"/>
        <v/>
      </c>
    </row>
    <row r="12" spans="1:9" ht="15" customHeight="1" x14ac:dyDescent="0.35">
      <c r="A12" s="9">
        <v>2023</v>
      </c>
      <c r="B12" s="10" t="s">
        <v>54</v>
      </c>
      <c r="C12" s="23" t="s">
        <v>52</v>
      </c>
      <c r="D12" s="11" t="s">
        <v>56</v>
      </c>
      <c r="E12" s="7" t="s">
        <v>0</v>
      </c>
      <c r="F12" s="21" t="s">
        <v>70</v>
      </c>
      <c r="G12" s="1" t="s">
        <v>0</v>
      </c>
      <c r="H12" s="1" t="s">
        <v>0</v>
      </c>
      <c r="I12" s="3" t="str">
        <f t="shared" si="1"/>
        <v/>
      </c>
    </row>
    <row r="13" spans="1:9" ht="15" customHeight="1" x14ac:dyDescent="0.35">
      <c r="A13" s="9">
        <v>2024</v>
      </c>
      <c r="B13" s="10" t="s">
        <v>54</v>
      </c>
      <c r="C13" s="23" t="s">
        <v>52</v>
      </c>
      <c r="D13" s="11" t="s">
        <v>56</v>
      </c>
      <c r="E13" s="12" t="s">
        <v>91</v>
      </c>
      <c r="F13" s="7" t="s">
        <v>0</v>
      </c>
      <c r="G13" s="20">
        <v>0</v>
      </c>
      <c r="H13" s="1" t="s">
        <v>0</v>
      </c>
      <c r="I13" s="3" t="str">
        <f t="shared" ref="I13:I14" si="2">IF(OR(AND(G13&gt;1,G13&lt;&gt;"-"),AND(H13&gt;1,H13&lt;&gt;"-")),"Can exchange","")</f>
        <v/>
      </c>
    </row>
    <row r="14" spans="1:9" ht="15" customHeight="1" x14ac:dyDescent="0.35">
      <c r="A14" s="9">
        <v>2025</v>
      </c>
      <c r="B14" s="10" t="s">
        <v>54</v>
      </c>
      <c r="C14" s="23" t="s">
        <v>52</v>
      </c>
      <c r="D14" s="11" t="s">
        <v>56</v>
      </c>
      <c r="E14" s="7" t="s">
        <v>0</v>
      </c>
      <c r="F14" s="12" t="s">
        <v>92</v>
      </c>
      <c r="G14" s="1" t="s">
        <v>0</v>
      </c>
      <c r="H14" s="20">
        <v>0</v>
      </c>
      <c r="I14" s="3" t="str">
        <f t="shared" si="2"/>
        <v/>
      </c>
    </row>
  </sheetData>
  <autoFilter ref="B2:F2" xr:uid="{00000000-0001-0000-0300-000000000000}"/>
  <mergeCells count="4">
    <mergeCell ref="A1:A2"/>
    <mergeCell ref="C1:D1"/>
    <mergeCell ref="E1:F1"/>
    <mergeCell ref="G1:H1"/>
  </mergeCells>
  <phoneticPr fontId="9" type="noConversion"/>
  <conditionalFormatting sqref="G6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lorScale" priority="4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 G7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lorScale" priority="4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lorScale" priority="4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0 G8 G12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 H8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lorScale" priority="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">
    <cfRule type="colorScale" priority="2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4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3">
    <cfRule type="colorScale" priority="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lorScale" priority="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13" priority="5" operator="containsText" text="*-">
      <formula>NOT(ISERROR(SEARCH(("*-"),(H12))))</formula>
    </cfRule>
  </conditionalFormatting>
  <conditionalFormatting sqref="H1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12" priority="3" operator="containsText" text="*-">
      <formula>NOT(ISERROR(SEARCH(("*-"),(G5))))</formula>
    </cfRule>
  </conditionalFormatting>
  <conditionalFormatting sqref="G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11" priority="1" operator="containsText" text="*-">
      <formula>NOT(ISERROR(SEARCH(("*-"),(H4))))</formula>
    </cfRule>
  </conditionalFormatting>
  <conditionalFormatting sqref="H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1" operator="containsText" text="*-" id="{7AEA8373-1E3A-4AB0-BD1F-047F0EDE497B}">
            <xm:f>NOT(ISERROR(SEARCH(("*-"),('2cents'!G3))))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G3:H3 H8 H10 G6:H7 H5 G4</xm:sqref>
        </x14:conditionalFormatting>
        <x14:conditionalFormatting xmlns:xm="http://schemas.microsoft.com/office/excel/2006/main">
          <x14:cfRule type="containsText" priority="43" operator="containsText" text="*-" id="{BA77CDF5-8944-4594-8A93-4EFF876490C0}">
            <xm:f>NOT(ISERROR(SEARCH(("*-"),('1cent'!G8))))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G8 G12 G10</xm:sqref>
        </x14:conditionalFormatting>
        <x14:conditionalFormatting xmlns:xm="http://schemas.microsoft.com/office/excel/2006/main">
          <x14:cfRule type="containsText" priority="28" operator="containsText" text="*-" id="{EC0E372E-6D0B-4B76-BBA3-AD34923437ED}">
            <xm:f>NOT(ISERROR(SEARCH(("*-"),('2cents'!G12))))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G11</xm:sqref>
        </x14:conditionalFormatting>
        <x14:conditionalFormatting xmlns:xm="http://schemas.microsoft.com/office/excel/2006/main">
          <x14:cfRule type="containsText" priority="25" operator="containsText" text="*-" id="{5A01CDC1-4AB2-43BD-9881-FCB426CF1756}">
            <xm:f>NOT(ISERROR(SEARCH(("*-"),('1cent'!H11))))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H11</xm:sqref>
        </x14:conditionalFormatting>
        <x14:conditionalFormatting xmlns:xm="http://schemas.microsoft.com/office/excel/2006/main">
          <x14:cfRule type="containsText" priority="24" operator="containsText" text="*-" id="{E01B750B-AB4B-4A13-B00A-F61268396490}">
            <xm:f>NOT(ISERROR(SEARCH(("*-"),('2cents'!G10))))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G9</xm:sqref>
        </x14:conditionalFormatting>
        <x14:conditionalFormatting xmlns:xm="http://schemas.microsoft.com/office/excel/2006/main">
          <x14:cfRule type="containsText" priority="21" operator="containsText" text="*-" id="{8A09440F-1458-487F-A2ED-4CFEB45053F0}">
            <xm:f>NOT(ISERROR(SEARCH(("*-"),('1cent'!H9))))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13" operator="containsText" text="*-" id="{AC2168BD-7544-44EA-88E3-E50D5C2912CA}">
            <xm:f>NOT(ISERROR(SEARCH(("*-"),('1cent'!G14))))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G14</xm:sqref>
        </x14:conditionalFormatting>
        <x14:conditionalFormatting xmlns:xm="http://schemas.microsoft.com/office/excel/2006/main">
          <x14:cfRule type="containsText" priority="12" operator="containsText" text="*-" id="{9A70B5F2-99EF-4D4B-A692-D6E0158F4354}">
            <xm:f>NOT(ISERROR(SEARCH(("*-"),('2cents'!G14))))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G13</xm:sqref>
        </x14:conditionalFormatting>
        <x14:conditionalFormatting xmlns:xm="http://schemas.microsoft.com/office/excel/2006/main">
          <x14:cfRule type="containsText" priority="9" operator="containsText" text="*-" id="{60D53925-3ABD-45FE-BFC9-594225DA493E}">
            <xm:f>NOT(ISERROR(SEARCH(("*-"),('1cent'!H13))))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8" operator="containsText" text="*-" id="{3A6F209F-4103-4CED-AB7D-883F3B29EBA5}">
            <xm:f>NOT(ISERROR(SEARCH(("*-"),('2cents'!H14))))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H12" sqref="H12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26" t="s">
        <v>1</v>
      </c>
      <c r="B1" s="25"/>
      <c r="C1" s="28" t="s">
        <v>2</v>
      </c>
      <c r="D1" s="29"/>
      <c r="E1" s="30" t="s">
        <v>3</v>
      </c>
      <c r="F1" s="31"/>
      <c r="G1" s="32" t="s">
        <v>8</v>
      </c>
      <c r="H1" s="33"/>
      <c r="I1" s="2"/>
    </row>
    <row r="2" spans="1:9" ht="15" customHeight="1" x14ac:dyDescent="0.35">
      <c r="A2" s="27"/>
      <c r="B2" s="25" t="s">
        <v>81</v>
      </c>
      <c r="C2" s="6" t="s">
        <v>82</v>
      </c>
      <c r="D2" s="6" t="s">
        <v>84</v>
      </c>
      <c r="E2" s="8" t="s">
        <v>21</v>
      </c>
      <c r="F2" s="8" t="s">
        <v>22</v>
      </c>
      <c r="G2" s="19" t="s">
        <v>21</v>
      </c>
      <c r="H2" s="19" t="s">
        <v>22</v>
      </c>
      <c r="I2" s="2"/>
    </row>
    <row r="3" spans="1:9" ht="15" customHeight="1" x14ac:dyDescent="0.35">
      <c r="A3" s="9">
        <v>2014</v>
      </c>
      <c r="B3" s="10" t="s">
        <v>54</v>
      </c>
      <c r="C3" s="23" t="s">
        <v>52</v>
      </c>
      <c r="D3" s="11" t="s">
        <v>56</v>
      </c>
      <c r="E3" s="12" t="s">
        <v>30</v>
      </c>
      <c r="F3" s="7" t="s">
        <v>0</v>
      </c>
      <c r="G3" s="20">
        <v>0</v>
      </c>
      <c r="H3" s="1" t="s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9">
        <v>2015</v>
      </c>
      <c r="B4" s="10" t="s">
        <v>54</v>
      </c>
      <c r="C4" s="23" t="s">
        <v>52</v>
      </c>
      <c r="D4" s="11" t="s">
        <v>56</v>
      </c>
      <c r="E4" s="7" t="s">
        <v>0</v>
      </c>
      <c r="F4" s="21" t="s">
        <v>23</v>
      </c>
      <c r="G4" s="1" t="s">
        <v>0</v>
      </c>
      <c r="H4" s="1" t="s">
        <v>0</v>
      </c>
      <c r="I4" s="3" t="str">
        <f t="shared" ref="I4:I9" si="0">IF(OR(AND(G4&gt;1,G4&lt;&gt;"-"),AND(H4&gt;1,H4&lt;&gt;"-")),"Can exchange","")</f>
        <v/>
      </c>
    </row>
    <row r="5" spans="1:9" ht="15" customHeight="1" x14ac:dyDescent="0.35">
      <c r="A5" s="9">
        <v>2016</v>
      </c>
      <c r="B5" s="10" t="s">
        <v>54</v>
      </c>
      <c r="C5" s="23" t="s">
        <v>52</v>
      </c>
      <c r="D5" s="11" t="s">
        <v>56</v>
      </c>
      <c r="E5" s="21" t="s">
        <v>24</v>
      </c>
      <c r="F5" s="7" t="s">
        <v>0</v>
      </c>
      <c r="G5" s="1" t="s">
        <v>0</v>
      </c>
      <c r="H5" s="1" t="s">
        <v>0</v>
      </c>
      <c r="I5" s="3" t="str">
        <f t="shared" si="0"/>
        <v/>
      </c>
    </row>
    <row r="6" spans="1:9" ht="15" customHeight="1" x14ac:dyDescent="0.35">
      <c r="A6" s="9">
        <v>2017</v>
      </c>
      <c r="B6" s="10" t="s">
        <v>54</v>
      </c>
      <c r="C6" s="23" t="s">
        <v>52</v>
      </c>
      <c r="D6" s="11" t="s">
        <v>56</v>
      </c>
      <c r="E6" s="7" t="s">
        <v>0</v>
      </c>
      <c r="F6" s="12" t="s">
        <v>35</v>
      </c>
      <c r="G6" s="1" t="s">
        <v>0</v>
      </c>
      <c r="H6" s="20">
        <v>0</v>
      </c>
      <c r="I6" s="3" t="str">
        <f t="shared" si="0"/>
        <v/>
      </c>
    </row>
    <row r="7" spans="1:9" ht="15" customHeight="1" x14ac:dyDescent="0.35">
      <c r="A7" s="9">
        <v>2018</v>
      </c>
      <c r="B7" s="10" t="s">
        <v>54</v>
      </c>
      <c r="C7" s="23" t="s">
        <v>52</v>
      </c>
      <c r="D7" s="11" t="s">
        <v>56</v>
      </c>
      <c r="E7" s="12" t="s">
        <v>36</v>
      </c>
      <c r="F7" s="7" t="s">
        <v>0</v>
      </c>
      <c r="G7" s="20">
        <v>0</v>
      </c>
      <c r="H7" s="1" t="s">
        <v>0</v>
      </c>
      <c r="I7" s="3" t="str">
        <f t="shared" si="0"/>
        <v/>
      </c>
    </row>
    <row r="8" spans="1:9" ht="15" customHeight="1" x14ac:dyDescent="0.35">
      <c r="A8" s="9">
        <v>2019</v>
      </c>
      <c r="B8" s="10" t="s">
        <v>54</v>
      </c>
      <c r="C8" s="23" t="s">
        <v>52</v>
      </c>
      <c r="D8" s="11" t="s">
        <v>56</v>
      </c>
      <c r="E8" s="7" t="s">
        <v>0</v>
      </c>
      <c r="F8" s="12" t="s">
        <v>64</v>
      </c>
      <c r="G8" s="1" t="s">
        <v>0</v>
      </c>
      <c r="H8" s="20">
        <v>0</v>
      </c>
      <c r="I8" s="3" t="str">
        <f t="shared" si="0"/>
        <v/>
      </c>
    </row>
    <row r="9" spans="1:9" ht="15" customHeight="1" x14ac:dyDescent="0.35">
      <c r="A9" s="9">
        <v>2020</v>
      </c>
      <c r="B9" s="10" t="s">
        <v>54</v>
      </c>
      <c r="C9" s="23" t="s">
        <v>52</v>
      </c>
      <c r="D9" s="11" t="s">
        <v>56</v>
      </c>
      <c r="E9" s="12" t="s">
        <v>63</v>
      </c>
      <c r="F9" s="7" t="s">
        <v>0</v>
      </c>
      <c r="G9" s="20">
        <v>0</v>
      </c>
      <c r="H9" s="1" t="s">
        <v>0</v>
      </c>
      <c r="I9" s="3" t="str">
        <f t="shared" si="0"/>
        <v/>
      </c>
    </row>
    <row r="10" spans="1:9" ht="15" customHeight="1" x14ac:dyDescent="0.35">
      <c r="A10" s="9">
        <v>2021</v>
      </c>
      <c r="B10" s="10" t="s">
        <v>54</v>
      </c>
      <c r="C10" s="23" t="s">
        <v>52</v>
      </c>
      <c r="D10" s="11" t="s">
        <v>56</v>
      </c>
      <c r="E10" s="7" t="s">
        <v>0</v>
      </c>
      <c r="F10" s="12" t="s">
        <v>72</v>
      </c>
      <c r="G10" s="1" t="s">
        <v>0</v>
      </c>
      <c r="H10" s="20">
        <v>0</v>
      </c>
      <c r="I10" s="3" t="str">
        <f t="shared" ref="I10:I12" si="1">IF(OR(AND(G10&gt;1,G10&lt;&gt;"-"),AND(H10&gt;1,H10&lt;&gt;"-")),"Can exchange","")</f>
        <v/>
      </c>
    </row>
    <row r="11" spans="1:9" ht="15" customHeight="1" x14ac:dyDescent="0.35">
      <c r="A11" s="9">
        <v>2022</v>
      </c>
      <c r="B11" s="10" t="s">
        <v>54</v>
      </c>
      <c r="C11" s="23" t="s">
        <v>52</v>
      </c>
      <c r="D11" s="11" t="s">
        <v>56</v>
      </c>
      <c r="E11" s="12" t="s">
        <v>69</v>
      </c>
      <c r="F11" s="7" t="s">
        <v>0</v>
      </c>
      <c r="G11" s="20">
        <v>0</v>
      </c>
      <c r="H11" s="1" t="s">
        <v>0</v>
      </c>
      <c r="I11" s="3" t="str">
        <f t="shared" si="1"/>
        <v/>
      </c>
    </row>
    <row r="12" spans="1:9" ht="15" customHeight="1" x14ac:dyDescent="0.35">
      <c r="A12" s="9">
        <v>2023</v>
      </c>
      <c r="B12" s="10" t="s">
        <v>54</v>
      </c>
      <c r="C12" s="23" t="s">
        <v>52</v>
      </c>
      <c r="D12" s="11" t="s">
        <v>56</v>
      </c>
      <c r="E12" s="7" t="s">
        <v>0</v>
      </c>
      <c r="F12" s="21" t="s">
        <v>70</v>
      </c>
      <c r="G12" s="1" t="s">
        <v>0</v>
      </c>
      <c r="H12" s="1" t="s">
        <v>0</v>
      </c>
      <c r="I12" s="3" t="str">
        <f t="shared" si="1"/>
        <v/>
      </c>
    </row>
    <row r="13" spans="1:9" ht="15" customHeight="1" x14ac:dyDescent="0.35">
      <c r="A13" s="9">
        <v>2024</v>
      </c>
      <c r="B13" s="10" t="s">
        <v>54</v>
      </c>
      <c r="C13" s="23" t="s">
        <v>52</v>
      </c>
      <c r="D13" s="11" t="s">
        <v>56</v>
      </c>
      <c r="E13" s="12" t="s">
        <v>93</v>
      </c>
      <c r="F13" s="7" t="s">
        <v>0</v>
      </c>
      <c r="G13" s="20">
        <v>0</v>
      </c>
      <c r="H13" s="1" t="s">
        <v>0</v>
      </c>
      <c r="I13" s="3" t="str">
        <f t="shared" ref="I13:I14" si="2">IF(OR(AND(G13&gt;1,G13&lt;&gt;"-"),AND(H13&gt;1,H13&lt;&gt;"-")),"Can exchange","")</f>
        <v/>
      </c>
    </row>
    <row r="14" spans="1:9" ht="15" customHeight="1" x14ac:dyDescent="0.35">
      <c r="A14" s="9">
        <v>2025</v>
      </c>
      <c r="B14" s="10" t="s">
        <v>54</v>
      </c>
      <c r="C14" s="23" t="s">
        <v>52</v>
      </c>
      <c r="D14" s="11" t="s">
        <v>56</v>
      </c>
      <c r="E14" s="7" t="s">
        <v>0</v>
      </c>
      <c r="F14" s="12" t="s">
        <v>94</v>
      </c>
      <c r="G14" s="1" t="s">
        <v>0</v>
      </c>
      <c r="H14" s="20">
        <v>0</v>
      </c>
      <c r="I14" s="3" t="str">
        <f t="shared" si="2"/>
        <v/>
      </c>
    </row>
  </sheetData>
  <autoFilter ref="B2:F2" xr:uid="{00000000-0001-0000-0400-000000000000}"/>
  <mergeCells count="4">
    <mergeCell ref="A1:A2"/>
    <mergeCell ref="C1:D1"/>
    <mergeCell ref="E1:F1"/>
    <mergeCell ref="G1:H1"/>
  </mergeCells>
  <phoneticPr fontId="9" type="noConversion"/>
  <conditionalFormatting sqref="G6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lorScale" priority="3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 G3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lorScale" priority="3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lorScale" priority="3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0 G8 G12 G14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 H8">
    <cfRule type="colorScale" priority="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 G11">
    <cfRule type="colorScale" priority="2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 H13">
    <cfRule type="colorScale" priority="1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">
    <cfRule type="colorScale" priority="1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lorScale" priority="1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3">
    <cfRule type="colorScale" priority="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10" priority="5" operator="containsText" text="*-">
      <formula>NOT(ISERROR(SEARCH(("*-"),(H4))))</formula>
    </cfRule>
  </conditionalFormatting>
  <conditionalFormatting sqref="H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9" priority="3" operator="containsText" text="*-">
      <formula>NOT(ISERROR(SEARCH(("*-"),(G5))))</formula>
    </cfRule>
  </conditionalFormatting>
  <conditionalFormatting sqref="G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8" priority="1" operator="containsText" text="*-">
      <formula>NOT(ISERROR(SEARCH(("*-"),(H12))))</formula>
    </cfRule>
  </conditionalFormatting>
  <conditionalFormatting sqref="H12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1" operator="containsText" text="*-" id="{326F7D04-CE51-45FD-98DB-0BF8E54ED395}">
            <xm:f>NOT(ISERROR(SEARCH(("*-"),('2cents'!G3))))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G3:H3 H8 H10 G11 G9 G6:H7 H5 G4</xm:sqref>
        </x14:conditionalFormatting>
        <x14:conditionalFormatting xmlns:xm="http://schemas.microsoft.com/office/excel/2006/main">
          <x14:cfRule type="containsText" priority="33" operator="containsText" text="*-" id="{D970F607-03B9-4591-9F2C-83A2C1AEBD36}">
            <xm:f>NOT(ISERROR(SEARCH(("*-"),('1cent'!G8))))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G8 G10 G12 G14</xm:sqref>
        </x14:conditionalFormatting>
        <x14:conditionalFormatting xmlns:xm="http://schemas.microsoft.com/office/excel/2006/main">
          <x14:cfRule type="containsText" priority="18" operator="containsText" text="*-" id="{5327C984-10F0-43B6-A770-E94AA0E616D1}">
            <xm:f>NOT(ISERROR(SEARCH(("*-"),('1cent'!H11))))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H11 H13</xm:sqref>
        </x14:conditionalFormatting>
        <x14:conditionalFormatting xmlns:xm="http://schemas.microsoft.com/office/excel/2006/main">
          <x14:cfRule type="containsText" priority="15" operator="containsText" text="*-" id="{8A98C01E-2FBD-45E2-8BD3-D891033F099D}">
            <xm:f>NOT(ISERROR(SEARCH(("*-"),('1cent'!H9))))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14" operator="containsText" text="*-" id="{65DB1F68-6AC1-4C20-A089-2207212105A6}">
            <xm:f>NOT(ISERROR(SEARCH(("*-"),('2cents'!H14))))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H14</xm:sqref>
        </x14:conditionalFormatting>
        <x14:conditionalFormatting xmlns:xm="http://schemas.microsoft.com/office/excel/2006/main">
          <x14:cfRule type="containsText" priority="8" operator="containsText" text="*-" id="{865C9F7F-ADB4-459E-B10E-007261B389F0}">
            <xm:f>NOT(ISERROR(SEARCH(("*-"),('2cents'!G13))))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tabSelected="1"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F14" sqref="F14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26" t="s">
        <v>1</v>
      </c>
      <c r="B1" s="25"/>
      <c r="C1" s="28" t="s">
        <v>2</v>
      </c>
      <c r="D1" s="29"/>
      <c r="E1" s="30" t="s">
        <v>3</v>
      </c>
      <c r="F1" s="31"/>
      <c r="G1" s="32" t="s">
        <v>9</v>
      </c>
      <c r="H1" s="33"/>
      <c r="I1" s="2"/>
    </row>
    <row r="2" spans="1:9" ht="15" customHeight="1" x14ac:dyDescent="0.35">
      <c r="A2" s="27"/>
      <c r="B2" s="25" t="s">
        <v>81</v>
      </c>
      <c r="C2" s="6" t="s">
        <v>82</v>
      </c>
      <c r="D2" s="6" t="s">
        <v>84</v>
      </c>
      <c r="E2" s="8" t="s">
        <v>21</v>
      </c>
      <c r="F2" s="8" t="s">
        <v>22</v>
      </c>
      <c r="G2" s="19" t="s">
        <v>21</v>
      </c>
      <c r="H2" s="19" t="s">
        <v>22</v>
      </c>
      <c r="I2" s="2"/>
    </row>
    <row r="3" spans="1:9" ht="15" customHeight="1" x14ac:dyDescent="0.35">
      <c r="A3" s="9">
        <v>2014</v>
      </c>
      <c r="B3" s="10" t="s">
        <v>54</v>
      </c>
      <c r="C3" s="23" t="s">
        <v>52</v>
      </c>
      <c r="D3" s="11" t="s">
        <v>56</v>
      </c>
      <c r="E3" s="12" t="s">
        <v>37</v>
      </c>
      <c r="F3" s="7" t="s">
        <v>0</v>
      </c>
      <c r="G3" s="20">
        <v>0</v>
      </c>
      <c r="H3" s="1" t="s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9">
        <v>2015</v>
      </c>
      <c r="B4" s="10" t="s">
        <v>54</v>
      </c>
      <c r="C4" s="23" t="s">
        <v>52</v>
      </c>
      <c r="D4" s="11" t="s">
        <v>56</v>
      </c>
      <c r="E4" s="7" t="s">
        <v>0</v>
      </c>
      <c r="F4" s="21" t="s">
        <v>23</v>
      </c>
      <c r="G4" s="1" t="s">
        <v>0</v>
      </c>
      <c r="H4" s="1" t="s">
        <v>0</v>
      </c>
      <c r="I4" s="3" t="str">
        <f t="shared" ref="I4:I9" si="0">IF(OR(AND(G4&gt;1,G4&lt;&gt;"-"),AND(H4&gt;1,H4&lt;&gt;"-")),"Can exchange","")</f>
        <v/>
      </c>
    </row>
    <row r="5" spans="1:9" ht="15" customHeight="1" x14ac:dyDescent="0.35">
      <c r="A5" s="9">
        <v>2016</v>
      </c>
      <c r="B5" s="10" t="s">
        <v>54</v>
      </c>
      <c r="C5" s="23" t="s">
        <v>52</v>
      </c>
      <c r="D5" s="11" t="s">
        <v>56</v>
      </c>
      <c r="E5" s="21" t="s">
        <v>24</v>
      </c>
      <c r="F5" s="7" t="s">
        <v>0</v>
      </c>
      <c r="G5" s="1" t="s">
        <v>0</v>
      </c>
      <c r="H5" s="1" t="s">
        <v>0</v>
      </c>
      <c r="I5" s="3" t="str">
        <f t="shared" si="0"/>
        <v/>
      </c>
    </row>
    <row r="6" spans="1:9" ht="15" customHeight="1" x14ac:dyDescent="0.35">
      <c r="A6" s="9">
        <v>2017</v>
      </c>
      <c r="B6" s="10" t="s">
        <v>54</v>
      </c>
      <c r="C6" s="23" t="s">
        <v>52</v>
      </c>
      <c r="D6" s="11" t="s">
        <v>56</v>
      </c>
      <c r="E6" s="7" t="s">
        <v>0</v>
      </c>
      <c r="F6" s="12" t="s">
        <v>38</v>
      </c>
      <c r="G6" s="1" t="s">
        <v>0</v>
      </c>
      <c r="H6" s="20">
        <v>0</v>
      </c>
      <c r="I6" s="3" t="str">
        <f t="shared" si="0"/>
        <v/>
      </c>
    </row>
    <row r="7" spans="1:9" ht="15" customHeight="1" x14ac:dyDescent="0.35">
      <c r="A7" s="9">
        <v>2018</v>
      </c>
      <c r="B7" s="10" t="s">
        <v>54</v>
      </c>
      <c r="C7" s="23" t="s">
        <v>52</v>
      </c>
      <c r="D7" s="11" t="s">
        <v>56</v>
      </c>
      <c r="E7" s="12" t="s">
        <v>39</v>
      </c>
      <c r="F7" s="7" t="s">
        <v>0</v>
      </c>
      <c r="G7" s="20">
        <v>0</v>
      </c>
      <c r="H7" s="1" t="s">
        <v>0</v>
      </c>
      <c r="I7" s="3" t="str">
        <f t="shared" si="0"/>
        <v/>
      </c>
    </row>
    <row r="8" spans="1:9" ht="15" customHeight="1" x14ac:dyDescent="0.35">
      <c r="A8" s="9">
        <v>2019</v>
      </c>
      <c r="B8" s="10" t="s">
        <v>54</v>
      </c>
      <c r="C8" s="23" t="s">
        <v>52</v>
      </c>
      <c r="D8" s="11" t="s">
        <v>56</v>
      </c>
      <c r="E8" s="7" t="s">
        <v>0</v>
      </c>
      <c r="F8" s="12" t="s">
        <v>65</v>
      </c>
      <c r="G8" s="1" t="s">
        <v>0</v>
      </c>
      <c r="H8" s="20">
        <v>0</v>
      </c>
      <c r="I8" s="3" t="str">
        <f t="shared" si="0"/>
        <v/>
      </c>
    </row>
    <row r="9" spans="1:9" ht="15" customHeight="1" x14ac:dyDescent="0.35">
      <c r="A9" s="9">
        <v>2020</v>
      </c>
      <c r="B9" s="10" t="s">
        <v>54</v>
      </c>
      <c r="C9" s="23" t="s">
        <v>52</v>
      </c>
      <c r="D9" s="11" t="s">
        <v>56</v>
      </c>
      <c r="E9" s="12" t="s">
        <v>66</v>
      </c>
      <c r="F9" s="7" t="s">
        <v>0</v>
      </c>
      <c r="G9" s="20">
        <v>0</v>
      </c>
      <c r="H9" s="1" t="s">
        <v>0</v>
      </c>
      <c r="I9" s="3" t="str">
        <f t="shared" si="0"/>
        <v/>
      </c>
    </row>
    <row r="10" spans="1:9" ht="15" customHeight="1" x14ac:dyDescent="0.35">
      <c r="A10" s="9">
        <v>2021</v>
      </c>
      <c r="B10" s="10" t="s">
        <v>54</v>
      </c>
      <c r="C10" s="23" t="s">
        <v>52</v>
      </c>
      <c r="D10" s="11" t="s">
        <v>56</v>
      </c>
      <c r="E10" s="7" t="s">
        <v>0</v>
      </c>
      <c r="F10" s="12" t="s">
        <v>73</v>
      </c>
      <c r="G10" s="1" t="s">
        <v>0</v>
      </c>
      <c r="H10" s="20">
        <v>0</v>
      </c>
      <c r="I10" s="3" t="str">
        <f t="shared" ref="I10:I11" si="1">IF(OR(AND(G10&gt;1,G10&lt;&gt;"-"),AND(H10&gt;1,H10&lt;&gt;"-")),"Can exchange","")</f>
        <v/>
      </c>
    </row>
    <row r="11" spans="1:9" ht="15" customHeight="1" x14ac:dyDescent="0.35">
      <c r="A11" s="9">
        <v>2022</v>
      </c>
      <c r="B11" s="10" t="s">
        <v>54</v>
      </c>
      <c r="C11" s="23" t="s">
        <v>52</v>
      </c>
      <c r="D11" s="11" t="s">
        <v>56</v>
      </c>
      <c r="E11" s="12" t="s">
        <v>78</v>
      </c>
      <c r="F11" s="7" t="s">
        <v>0</v>
      </c>
      <c r="G11" s="20">
        <v>0</v>
      </c>
      <c r="H11" s="1" t="s">
        <v>0</v>
      </c>
      <c r="I11" s="3" t="str">
        <f t="shared" si="1"/>
        <v/>
      </c>
    </row>
    <row r="12" spans="1:9" ht="15" customHeight="1" x14ac:dyDescent="0.35">
      <c r="A12" s="9">
        <v>2023</v>
      </c>
      <c r="B12" s="10" t="s">
        <v>54</v>
      </c>
      <c r="C12" s="23" t="s">
        <v>52</v>
      </c>
      <c r="D12" s="11" t="s">
        <v>56</v>
      </c>
      <c r="E12" s="7" t="s">
        <v>0</v>
      </c>
      <c r="F12" s="21" t="s">
        <v>70</v>
      </c>
      <c r="G12" s="1" t="s">
        <v>0</v>
      </c>
      <c r="H12" s="1" t="s">
        <v>0</v>
      </c>
      <c r="I12" s="3" t="str">
        <f t="shared" ref="I12:I13" si="2">IF(OR(AND(G12&gt;1,G12&lt;&gt;"-"),AND(H12&gt;1,H12&lt;&gt;"-")),"Can exchange","")</f>
        <v/>
      </c>
    </row>
    <row r="13" spans="1:9" ht="15" customHeight="1" x14ac:dyDescent="0.35">
      <c r="A13" s="9">
        <v>2024</v>
      </c>
      <c r="B13" s="10" t="s">
        <v>54</v>
      </c>
      <c r="C13" s="23" t="s">
        <v>52</v>
      </c>
      <c r="D13" s="11" t="s">
        <v>56</v>
      </c>
      <c r="E13" s="12" t="s">
        <v>95</v>
      </c>
      <c r="F13" s="7" t="s">
        <v>0</v>
      </c>
      <c r="G13" s="20">
        <v>0</v>
      </c>
      <c r="H13" s="1" t="s">
        <v>0</v>
      </c>
      <c r="I13" s="3" t="str">
        <f t="shared" si="2"/>
        <v/>
      </c>
    </row>
    <row r="14" spans="1:9" ht="15" customHeight="1" x14ac:dyDescent="0.35">
      <c r="A14" s="9">
        <v>2025</v>
      </c>
      <c r="B14" s="10" t="s">
        <v>54</v>
      </c>
      <c r="C14" s="23" t="s">
        <v>52</v>
      </c>
      <c r="D14" s="11" t="s">
        <v>56</v>
      </c>
      <c r="E14" s="7" t="s">
        <v>0</v>
      </c>
      <c r="F14" s="12" t="s">
        <v>96</v>
      </c>
      <c r="G14" s="1" t="s">
        <v>0</v>
      </c>
      <c r="H14" s="20">
        <v>0</v>
      </c>
      <c r="I14" s="3" t="str">
        <f t="shared" ref="I14" si="3">IF(OR(AND(G14&gt;1,G14&lt;&gt;"-"),AND(H14&gt;1,H14&lt;&gt;"-")),"Can exchange","")</f>
        <v/>
      </c>
    </row>
  </sheetData>
  <autoFilter ref="B2:F2" xr:uid="{00000000-0001-0000-0500-000000000000}"/>
  <mergeCells count="4">
    <mergeCell ref="A1:A2"/>
    <mergeCell ref="C1:D1"/>
    <mergeCell ref="E1:F1"/>
    <mergeCell ref="G1:H1"/>
  </mergeCells>
  <phoneticPr fontId="9" type="noConversion"/>
  <conditionalFormatting sqref="G6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lorScale" priority="4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 G3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lorScale" priority="5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lorScale" priority="5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">
    <cfRule type="colorScale" priority="4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2 G10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">
    <cfRule type="colorScale" priority="3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lorScale" priority="2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lorScale" priority="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">
    <cfRule type="colorScale" priority="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">
    <cfRule type="colorScale" priority="2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7" priority="15" operator="containsText" text="*-">
      <formula>NOT(ISERROR(SEARCH(("*-"),(G5))))</formula>
    </cfRule>
  </conditionalFormatting>
  <conditionalFormatting sqref="G5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6" priority="13" operator="containsText" text="*-">
      <formula>NOT(ISERROR(SEARCH(("*-"),(H4))))</formula>
    </cfRule>
  </conditionalFormatting>
  <conditionalFormatting sqref="H4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5" priority="11" operator="containsText" text="*-">
      <formula>NOT(ISERROR(SEARCH(("*-"),(H12))))</formula>
    </cfRule>
  </conditionalFormatting>
  <conditionalFormatting sqref="H12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4">
    <cfRule type="colorScale" priority="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3">
    <cfRule type="colorScale" priority="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lorScale" priority="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lorScale" priority="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5" operator="containsText" text="*-" id="{E5365921-B2DC-45EB-A6DD-757F3A3E2D52}">
            <xm:f>NOT(ISERROR(SEARCH(("*-"),('2cents'!G3))))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G3:H3 H8 G6:H7 H5 G4</xm:sqref>
        </x14:conditionalFormatting>
        <x14:conditionalFormatting xmlns:xm="http://schemas.microsoft.com/office/excel/2006/main">
          <x14:cfRule type="containsText" priority="47" operator="containsText" text="*-" id="{8AD0E4CB-0C61-4876-8F81-9B1AF1DE1B7D}">
            <xm:f>NOT(ISERROR(SEARCH(("*-"),('1cent'!G8))))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G8 G12 G10</xm:sqref>
        </x14:conditionalFormatting>
        <x14:conditionalFormatting xmlns:xm="http://schemas.microsoft.com/office/excel/2006/main">
          <x14:cfRule type="containsText" priority="34" operator="containsText" text="*-" id="{7FE30B39-3971-4C0D-B85F-1D89EA246896}">
            <xm:f>NOT(ISERROR(SEARCH(("*-"),('2cents'!H10))))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H10</xm:sqref>
        </x14:conditionalFormatting>
        <x14:conditionalFormatting xmlns:xm="http://schemas.microsoft.com/office/excel/2006/main">
          <x14:cfRule type="containsText" priority="30" operator="containsText" text="*-" id="{B10FFB47-A5A6-4418-AE63-434FF9CC0893}">
            <xm:f>NOT(ISERROR(SEARCH(("*-"),('2cents'!G11))))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G11</xm:sqref>
        </x14:conditionalFormatting>
        <x14:conditionalFormatting xmlns:xm="http://schemas.microsoft.com/office/excel/2006/main">
          <x14:cfRule type="containsText" priority="28" operator="containsText" text="*-" id="{F798817A-6369-431D-9B6C-A727C865D14A}">
            <xm:f>NOT(ISERROR(SEARCH(("*-"),('1cent'!H11))))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H11</xm:sqref>
        </x14:conditionalFormatting>
        <x14:conditionalFormatting xmlns:xm="http://schemas.microsoft.com/office/excel/2006/main">
          <x14:cfRule type="containsText" priority="26" operator="containsText" text="*-" id="{985C18F9-4408-4A11-9FD5-F5CEC702D869}">
            <xm:f>NOT(ISERROR(SEARCH(("*-"),('2cents'!G9))))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G9</xm:sqref>
        </x14:conditionalFormatting>
        <x14:conditionalFormatting xmlns:xm="http://schemas.microsoft.com/office/excel/2006/main">
          <x14:cfRule type="containsText" priority="24" operator="containsText" text="*-" id="{EDAD3E78-E6CC-4D11-8B0E-B6073F5D9E53}">
            <xm:f>NOT(ISERROR(SEARCH(("*-"),('1cent'!H9))))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10" operator="containsText" text="*-" id="{62C91CAA-79AF-4C46-AC3E-294E5269899C}">
            <xm:f>NOT(ISERROR(SEARCH(("*-"),('1cent'!G14))))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G14</xm:sqref>
        </x14:conditionalFormatting>
        <x14:conditionalFormatting xmlns:xm="http://schemas.microsoft.com/office/excel/2006/main">
          <x14:cfRule type="containsText" priority="8" operator="containsText" text="*-" id="{8AC9F91A-74E9-4C37-8846-5F47B2953705}">
            <xm:f>NOT(ISERROR(SEARCH(("*-"),('2cents'!G13))))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G13</xm:sqref>
        </x14:conditionalFormatting>
        <x14:conditionalFormatting xmlns:xm="http://schemas.microsoft.com/office/excel/2006/main">
          <x14:cfRule type="containsText" priority="6" operator="containsText" text="*-" id="{629770F2-965E-4E40-A281-256C6557A9AC}">
            <xm:f>NOT(ISERROR(SEARCH(("*-"),('1cent'!H13))))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H13</xm:sqref>
        </x14:conditionalFormatting>
        <x14:conditionalFormatting xmlns:xm="http://schemas.microsoft.com/office/excel/2006/main">
          <x14:cfRule type="containsText" priority="2" operator="containsText" text="*-" id="{37A5B5F7-5632-42E4-95D3-11A303F8FB2F}">
            <xm:f>NOT(ISERROR(SEARCH(("*-"),('2cents'!H14))))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D23" sqref="D23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26" t="s">
        <v>1</v>
      </c>
      <c r="B1" s="25"/>
      <c r="C1" s="28" t="s">
        <v>2</v>
      </c>
      <c r="D1" s="29"/>
      <c r="E1" s="30" t="s">
        <v>3</v>
      </c>
      <c r="F1" s="31"/>
      <c r="G1" s="40" t="s">
        <v>10</v>
      </c>
      <c r="H1" s="41"/>
      <c r="I1" s="2"/>
    </row>
    <row r="2" spans="1:9" ht="15" customHeight="1" x14ac:dyDescent="0.35">
      <c r="A2" s="27"/>
      <c r="B2" s="25" t="s">
        <v>81</v>
      </c>
      <c r="C2" s="6" t="s">
        <v>82</v>
      </c>
      <c r="D2" s="6" t="s">
        <v>84</v>
      </c>
      <c r="E2" s="8" t="s">
        <v>21</v>
      </c>
      <c r="F2" s="8" t="s">
        <v>22</v>
      </c>
      <c r="G2" s="19" t="s">
        <v>21</v>
      </c>
      <c r="H2" s="19" t="s">
        <v>22</v>
      </c>
      <c r="I2" s="2"/>
    </row>
    <row r="3" spans="1:9" ht="15" customHeight="1" x14ac:dyDescent="0.35">
      <c r="A3" s="9">
        <v>2014</v>
      </c>
      <c r="B3" s="10" t="s">
        <v>55</v>
      </c>
      <c r="C3" s="23" t="s">
        <v>52</v>
      </c>
      <c r="D3" s="11" t="s">
        <v>56</v>
      </c>
      <c r="E3" s="12" t="s">
        <v>40</v>
      </c>
      <c r="F3" s="7" t="s">
        <v>0</v>
      </c>
      <c r="G3" s="20">
        <v>0</v>
      </c>
      <c r="H3" s="1" t="s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9">
        <v>2015</v>
      </c>
      <c r="B4" s="10" t="s">
        <v>55</v>
      </c>
      <c r="C4" s="23" t="s">
        <v>52</v>
      </c>
      <c r="D4" s="11" t="s">
        <v>56</v>
      </c>
      <c r="E4" s="7" t="s">
        <v>0</v>
      </c>
      <c r="F4" s="21" t="s">
        <v>23</v>
      </c>
      <c r="G4" s="1" t="s">
        <v>0</v>
      </c>
      <c r="H4" s="20">
        <v>0</v>
      </c>
      <c r="I4" s="3" t="str">
        <f t="shared" ref="I4:I9" si="0">IF(OR(AND(G4&gt;1,G4&lt;&gt;"-"),AND(H4&gt;1,H4&lt;&gt;"-")),"Can exchange","")</f>
        <v/>
      </c>
    </row>
    <row r="5" spans="1:9" ht="15" customHeight="1" x14ac:dyDescent="0.35">
      <c r="A5" s="9">
        <v>2016</v>
      </c>
      <c r="B5" s="10" t="s">
        <v>55</v>
      </c>
      <c r="C5" s="23" t="s">
        <v>52</v>
      </c>
      <c r="D5" s="11" t="s">
        <v>56</v>
      </c>
      <c r="E5" s="12" t="s">
        <v>41</v>
      </c>
      <c r="F5" s="7" t="s">
        <v>0</v>
      </c>
      <c r="G5" s="20">
        <v>0</v>
      </c>
      <c r="H5" s="1" t="s">
        <v>0</v>
      </c>
      <c r="I5" s="3" t="str">
        <f t="shared" si="0"/>
        <v/>
      </c>
    </row>
    <row r="6" spans="1:9" ht="15" customHeight="1" x14ac:dyDescent="0.35">
      <c r="A6" s="9">
        <v>2017</v>
      </c>
      <c r="B6" s="10" t="s">
        <v>55</v>
      </c>
      <c r="C6" s="23" t="s">
        <v>52</v>
      </c>
      <c r="D6" s="11" t="s">
        <v>56</v>
      </c>
      <c r="E6" s="7" t="s">
        <v>0</v>
      </c>
      <c r="F6" s="12" t="s">
        <v>38</v>
      </c>
      <c r="G6" s="1" t="s">
        <v>0</v>
      </c>
      <c r="H6" s="20">
        <v>0</v>
      </c>
      <c r="I6" s="3" t="str">
        <f t="shared" si="0"/>
        <v/>
      </c>
    </row>
    <row r="7" spans="1:9" ht="15" customHeight="1" x14ac:dyDescent="0.35">
      <c r="A7" s="9">
        <v>2018</v>
      </c>
      <c r="B7" s="10" t="s">
        <v>55</v>
      </c>
      <c r="C7" s="23" t="s">
        <v>52</v>
      </c>
      <c r="D7" s="11" t="s">
        <v>56</v>
      </c>
      <c r="E7" s="21" t="s">
        <v>42</v>
      </c>
      <c r="F7" s="7" t="s">
        <v>0</v>
      </c>
      <c r="G7" s="20">
        <v>0</v>
      </c>
      <c r="H7" s="1" t="s">
        <v>0</v>
      </c>
      <c r="I7" s="3" t="str">
        <f t="shared" si="0"/>
        <v/>
      </c>
    </row>
    <row r="8" spans="1:9" ht="15" customHeight="1" x14ac:dyDescent="0.35">
      <c r="A8" s="9">
        <v>2019</v>
      </c>
      <c r="B8" s="10" t="s">
        <v>55</v>
      </c>
      <c r="C8" s="23" t="s">
        <v>52</v>
      </c>
      <c r="D8" s="11" t="s">
        <v>56</v>
      </c>
      <c r="E8" s="7" t="s">
        <v>0</v>
      </c>
      <c r="F8" s="21" t="s">
        <v>46</v>
      </c>
      <c r="G8" s="1" t="s">
        <v>0</v>
      </c>
      <c r="H8" s="20">
        <v>0</v>
      </c>
      <c r="I8" s="3" t="str">
        <f t="shared" si="0"/>
        <v/>
      </c>
    </row>
    <row r="9" spans="1:9" ht="15" customHeight="1" x14ac:dyDescent="0.35">
      <c r="A9" s="9">
        <v>2020</v>
      </c>
      <c r="B9" s="10" t="s">
        <v>55</v>
      </c>
      <c r="C9" s="23" t="s">
        <v>52</v>
      </c>
      <c r="D9" s="11" t="s">
        <v>56</v>
      </c>
      <c r="E9" s="21" t="s">
        <v>57</v>
      </c>
      <c r="F9" s="7" t="s">
        <v>0</v>
      </c>
      <c r="G9" s="20">
        <v>0</v>
      </c>
      <c r="H9" s="1" t="s">
        <v>0</v>
      </c>
      <c r="I9" s="3" t="str">
        <f t="shared" si="0"/>
        <v/>
      </c>
    </row>
    <row r="10" spans="1:9" ht="15" customHeight="1" x14ac:dyDescent="0.35">
      <c r="A10" s="9">
        <v>2021</v>
      </c>
      <c r="B10" s="10" t="s">
        <v>55</v>
      </c>
      <c r="C10" s="23" t="s">
        <v>52</v>
      </c>
      <c r="D10" s="11" t="s">
        <v>56</v>
      </c>
      <c r="E10" s="7" t="s">
        <v>0</v>
      </c>
      <c r="F10" s="21" t="s">
        <v>74</v>
      </c>
      <c r="G10" s="1" t="s">
        <v>0</v>
      </c>
      <c r="H10" s="20">
        <v>0</v>
      </c>
      <c r="I10" s="3" t="str">
        <f t="shared" ref="I10:I14" si="1">IF(OR(AND(G10&gt;1,G10&lt;&gt;"-"),AND(H10&gt;1,H10&lt;&gt;"-")),"Can exchange","")</f>
        <v/>
      </c>
    </row>
    <row r="11" spans="1:9" ht="15" customHeight="1" x14ac:dyDescent="0.35">
      <c r="A11" s="9">
        <v>2022</v>
      </c>
      <c r="B11" s="10" t="s">
        <v>55</v>
      </c>
      <c r="C11" s="23" t="s">
        <v>52</v>
      </c>
      <c r="D11" s="11" t="s">
        <v>56</v>
      </c>
      <c r="E11" s="21" t="s">
        <v>70</v>
      </c>
      <c r="F11" s="7" t="s">
        <v>0</v>
      </c>
      <c r="G11" s="20">
        <v>0</v>
      </c>
      <c r="H11" s="1" t="s">
        <v>0</v>
      </c>
      <c r="I11" s="3" t="str">
        <f t="shared" si="1"/>
        <v/>
      </c>
    </row>
    <row r="12" spans="1:9" ht="15" customHeight="1" x14ac:dyDescent="0.35">
      <c r="A12" s="9">
        <v>2023</v>
      </c>
      <c r="B12" s="10" t="s">
        <v>55</v>
      </c>
      <c r="C12" s="23" t="s">
        <v>52</v>
      </c>
      <c r="D12" s="11" t="s">
        <v>56</v>
      </c>
      <c r="E12" s="7" t="s">
        <v>0</v>
      </c>
      <c r="F12" s="21" t="s">
        <v>70</v>
      </c>
      <c r="G12" s="1" t="s">
        <v>0</v>
      </c>
      <c r="H12" s="20">
        <v>0</v>
      </c>
      <c r="I12" s="3" t="str">
        <f t="shared" si="1"/>
        <v/>
      </c>
    </row>
    <row r="13" spans="1:9" ht="15" customHeight="1" x14ac:dyDescent="0.35">
      <c r="A13" s="9">
        <v>2024</v>
      </c>
      <c r="B13" s="10" t="s">
        <v>55</v>
      </c>
      <c r="C13" s="23" t="s">
        <v>52</v>
      </c>
      <c r="D13" s="11" t="s">
        <v>56</v>
      </c>
      <c r="E13" s="12" t="s">
        <v>95</v>
      </c>
      <c r="F13" s="7" t="s">
        <v>0</v>
      </c>
      <c r="G13" s="20">
        <v>0</v>
      </c>
      <c r="H13" s="1" t="s">
        <v>0</v>
      </c>
      <c r="I13" s="3" t="str">
        <f t="shared" si="1"/>
        <v/>
      </c>
    </row>
    <row r="14" spans="1:9" ht="15" customHeight="1" x14ac:dyDescent="0.35">
      <c r="A14" s="9">
        <v>2025</v>
      </c>
      <c r="B14" s="10" t="s">
        <v>55</v>
      </c>
      <c r="C14" s="23" t="s">
        <v>52</v>
      </c>
      <c r="D14" s="11" t="s">
        <v>56</v>
      </c>
      <c r="E14" s="7" t="s">
        <v>0</v>
      </c>
      <c r="F14" s="12" t="s">
        <v>96</v>
      </c>
      <c r="G14" s="1" t="s">
        <v>0</v>
      </c>
      <c r="H14" s="20">
        <v>0</v>
      </c>
      <c r="I14" s="3" t="str">
        <f t="shared" si="1"/>
        <v/>
      </c>
    </row>
  </sheetData>
  <autoFilter ref="B2:F2" xr:uid="{00000000-0001-0000-0600-000000000000}"/>
  <mergeCells count="4">
    <mergeCell ref="A1:A2"/>
    <mergeCell ref="C1:D1"/>
    <mergeCell ref="E1:F1"/>
    <mergeCell ref="G1:H1"/>
  </mergeCells>
  <phoneticPr fontId="9" type="noConversion"/>
  <conditionalFormatting sqref="G6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lorScale" priority="5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 G3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lorScale" priority="5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G5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:H5">
    <cfRule type="colorScale" priority="5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:H11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:G12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lorScale" priority="2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lorScale" priority="2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lorScale" priority="1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lorScale" priority="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lorScale" priority="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3">
    <cfRule type="colorScale" priority="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7" operator="containsText" text="*-" id="{0DC7A5EC-971A-4EDC-8CE5-1619DEA4F9BD}">
            <xm:f>NOT(ISERROR(SEARCH(("*-"),('2cents'!G3))))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G9:H9 G9:G12 H10:H11 G3:H7</xm:sqref>
        </x14:conditionalFormatting>
        <x14:conditionalFormatting xmlns:xm="http://schemas.microsoft.com/office/excel/2006/main">
          <x14:cfRule type="containsText" priority="25" operator="containsText" text="*-" id="{5131805A-A89E-473E-B7BD-A822378C43B9}">
            <xm:f>NOT(ISERROR(SEARCH(("*-"),('2cents'!H8))))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containsText" priority="18" operator="containsText" text="*-" id="{93487D00-7C18-42CB-BF31-CF37EE529F5A}">
            <xm:f>NOT(ISERROR(SEARCH(("*-"),('2cents'!H12))))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H12</xm:sqref>
        </x14:conditionalFormatting>
        <x14:conditionalFormatting xmlns:xm="http://schemas.microsoft.com/office/excel/2006/main">
          <x14:cfRule type="containsText" priority="15" operator="containsText" text="*-" id="{CA88C1C9-CD2D-435E-A828-9B74DF6E9132}">
            <xm:f>NOT(ISERROR(SEARCH(("*-"),('2cents'!G8))))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G8</xm:sqref>
        </x14:conditionalFormatting>
        <x14:conditionalFormatting xmlns:xm="http://schemas.microsoft.com/office/excel/2006/main">
          <x14:cfRule type="containsText" priority="6" operator="containsText" text="*-" id="{2245F0AA-13B8-49C8-8B47-D646EE5BD21D}">
            <xm:f>NOT(ISERROR(SEARCH(("*-"),('2cents'!G13))))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G13:H14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5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F15" sqref="F15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20" ht="15" customHeight="1" x14ac:dyDescent="0.35">
      <c r="A1" s="26" t="s">
        <v>1</v>
      </c>
      <c r="B1" s="25"/>
      <c r="C1" s="28" t="s">
        <v>2</v>
      </c>
      <c r="D1" s="29"/>
      <c r="E1" s="30" t="s">
        <v>3</v>
      </c>
      <c r="F1" s="31"/>
      <c r="G1" s="40" t="s">
        <v>47</v>
      </c>
      <c r="H1" s="41"/>
      <c r="I1" s="2"/>
    </row>
    <row r="2" spans="1:20" ht="15" customHeight="1" x14ac:dyDescent="0.35">
      <c r="A2" s="27"/>
      <c r="B2" s="25" t="s">
        <v>81</v>
      </c>
      <c r="C2" s="6" t="s">
        <v>82</v>
      </c>
      <c r="D2" s="6" t="s">
        <v>84</v>
      </c>
      <c r="E2" s="8" t="s">
        <v>21</v>
      </c>
      <c r="F2" s="8" t="s">
        <v>22</v>
      </c>
      <c r="G2" s="19" t="s">
        <v>21</v>
      </c>
      <c r="H2" s="19" t="s">
        <v>22</v>
      </c>
      <c r="I2" s="2"/>
    </row>
    <row r="3" spans="1:20" ht="15" customHeight="1" x14ac:dyDescent="0.35">
      <c r="A3" s="9">
        <v>2014</v>
      </c>
      <c r="B3" s="10" t="s">
        <v>55</v>
      </c>
      <c r="C3" s="23" t="s">
        <v>52</v>
      </c>
      <c r="D3" s="11" t="s">
        <v>56</v>
      </c>
      <c r="E3" s="12" t="s">
        <v>37</v>
      </c>
      <c r="F3" s="7" t="s">
        <v>0</v>
      </c>
      <c r="G3" s="20">
        <v>0</v>
      </c>
      <c r="H3" s="1" t="s">
        <v>0</v>
      </c>
      <c r="I3" s="3" t="str">
        <f>IF(OR(AND(G3&gt;1,G3&lt;&gt;"-"),AND(H3&gt;1,H3&lt;&gt;"-")),"Can exchange","")</f>
        <v/>
      </c>
    </row>
    <row r="4" spans="1:20" ht="15" customHeight="1" x14ac:dyDescent="0.35">
      <c r="A4" s="9">
        <v>2015</v>
      </c>
      <c r="B4" s="10" t="s">
        <v>55</v>
      </c>
      <c r="C4" s="23" t="s">
        <v>52</v>
      </c>
      <c r="D4" s="11" t="s">
        <v>56</v>
      </c>
      <c r="E4" s="7" t="s">
        <v>0</v>
      </c>
      <c r="F4" s="12" t="s">
        <v>43</v>
      </c>
      <c r="G4" s="1" t="s">
        <v>0</v>
      </c>
      <c r="H4" s="20">
        <v>0</v>
      </c>
      <c r="I4" s="3" t="str">
        <f t="shared" ref="I4:I9" si="0">IF(OR(AND(G4&gt;1,G4&lt;&gt;"-"),AND(H4&gt;1,H4&lt;&gt;"-")),"Can exchange","")</f>
        <v/>
      </c>
    </row>
    <row r="5" spans="1:20" ht="15" customHeight="1" x14ac:dyDescent="0.35">
      <c r="A5" s="9">
        <v>2016</v>
      </c>
      <c r="B5" s="10" t="s">
        <v>55</v>
      </c>
      <c r="C5" s="23" t="s">
        <v>52</v>
      </c>
      <c r="D5" s="11" t="s">
        <v>56</v>
      </c>
      <c r="E5" s="21" t="s">
        <v>24</v>
      </c>
      <c r="F5" s="7" t="s">
        <v>0</v>
      </c>
      <c r="G5" s="20">
        <v>0</v>
      </c>
      <c r="H5" s="1" t="s">
        <v>0</v>
      </c>
      <c r="I5" s="3" t="str">
        <f t="shared" si="0"/>
        <v/>
      </c>
    </row>
    <row r="6" spans="1:20" ht="15" customHeight="1" x14ac:dyDescent="0.35">
      <c r="A6" s="9">
        <v>2017</v>
      </c>
      <c r="B6" s="10" t="s">
        <v>55</v>
      </c>
      <c r="C6" s="23" t="s">
        <v>52</v>
      </c>
      <c r="D6" s="11" t="s">
        <v>56</v>
      </c>
      <c r="E6" s="7" t="s">
        <v>0</v>
      </c>
      <c r="F6" s="12" t="s">
        <v>44</v>
      </c>
      <c r="G6" s="1" t="s">
        <v>0</v>
      </c>
      <c r="H6" s="20">
        <v>0</v>
      </c>
      <c r="I6" s="3" t="str">
        <f t="shared" si="0"/>
        <v/>
      </c>
    </row>
    <row r="7" spans="1:20" ht="15" customHeight="1" x14ac:dyDescent="0.35">
      <c r="A7" s="9">
        <v>2018</v>
      </c>
      <c r="B7" s="10" t="s">
        <v>55</v>
      </c>
      <c r="C7" s="23" t="s">
        <v>52</v>
      </c>
      <c r="D7" s="11" t="s">
        <v>56</v>
      </c>
      <c r="E7" s="12" t="s">
        <v>45</v>
      </c>
      <c r="F7" s="7" t="s">
        <v>0</v>
      </c>
      <c r="G7" s="20">
        <v>0</v>
      </c>
      <c r="H7" s="1" t="s">
        <v>0</v>
      </c>
      <c r="I7" s="3" t="str">
        <f t="shared" si="0"/>
        <v/>
      </c>
    </row>
    <row r="8" spans="1:20" ht="15" customHeight="1" x14ac:dyDescent="0.35">
      <c r="A8" s="9">
        <v>2019</v>
      </c>
      <c r="B8" s="10" t="s">
        <v>55</v>
      </c>
      <c r="C8" s="23" t="s">
        <v>52</v>
      </c>
      <c r="D8" s="11" t="s">
        <v>56</v>
      </c>
      <c r="E8" s="7" t="s">
        <v>0</v>
      </c>
      <c r="F8" s="12" t="s">
        <v>67</v>
      </c>
      <c r="G8" s="1" t="s">
        <v>0</v>
      </c>
      <c r="H8" s="20">
        <v>0</v>
      </c>
      <c r="I8" s="3" t="str">
        <f t="shared" si="0"/>
        <v/>
      </c>
    </row>
    <row r="9" spans="1:20" ht="15" customHeight="1" x14ac:dyDescent="0.35">
      <c r="A9" s="9">
        <v>2020</v>
      </c>
      <c r="B9" s="10" t="s">
        <v>55</v>
      </c>
      <c r="C9" s="23" t="s">
        <v>52</v>
      </c>
      <c r="D9" s="11" t="s">
        <v>56</v>
      </c>
      <c r="E9" s="12" t="s">
        <v>79</v>
      </c>
      <c r="F9" s="7" t="s">
        <v>0</v>
      </c>
      <c r="G9" s="20">
        <v>0</v>
      </c>
      <c r="H9" s="1" t="s">
        <v>0</v>
      </c>
      <c r="I9" s="3" t="str">
        <f t="shared" si="0"/>
        <v/>
      </c>
    </row>
    <row r="10" spans="1:20" ht="15" customHeight="1" x14ac:dyDescent="0.35">
      <c r="A10" s="9">
        <v>2021</v>
      </c>
      <c r="B10" s="10" t="s">
        <v>55</v>
      </c>
      <c r="C10" s="23" t="s">
        <v>52</v>
      </c>
      <c r="D10" s="11" t="s">
        <v>56</v>
      </c>
      <c r="E10" s="7" t="s">
        <v>0</v>
      </c>
      <c r="F10" s="12" t="s">
        <v>75</v>
      </c>
      <c r="G10" s="1" t="s">
        <v>0</v>
      </c>
      <c r="H10" s="20">
        <v>0</v>
      </c>
      <c r="I10" s="3" t="str">
        <f t="shared" ref="I10:I12" si="1">IF(OR(AND(G10&gt;1,G10&lt;&gt;"-"),AND(H10&gt;1,H10&lt;&gt;"-")),"Can exchange","")</f>
        <v/>
      </c>
    </row>
    <row r="11" spans="1:20" ht="15" customHeight="1" x14ac:dyDescent="0.35">
      <c r="A11" s="9">
        <v>2022</v>
      </c>
      <c r="B11" s="10" t="s">
        <v>55</v>
      </c>
      <c r="C11" s="23" t="s">
        <v>52</v>
      </c>
      <c r="D11" s="11" t="s">
        <v>56</v>
      </c>
      <c r="E11" s="12" t="s">
        <v>79</v>
      </c>
      <c r="F11" s="7" t="s">
        <v>0</v>
      </c>
      <c r="G11" s="20">
        <v>0</v>
      </c>
      <c r="H11" s="1" t="s">
        <v>0</v>
      </c>
      <c r="I11" s="3" t="str">
        <f t="shared" si="1"/>
        <v/>
      </c>
    </row>
    <row r="12" spans="1:20" ht="15" customHeight="1" x14ac:dyDescent="0.35">
      <c r="A12" s="9">
        <v>2023</v>
      </c>
      <c r="B12" s="10" t="s">
        <v>55</v>
      </c>
      <c r="C12" s="23" t="s">
        <v>52</v>
      </c>
      <c r="D12" s="11" t="s">
        <v>56</v>
      </c>
      <c r="E12" s="7" t="s">
        <v>0</v>
      </c>
      <c r="F12" s="12" t="s">
        <v>80</v>
      </c>
      <c r="G12" s="1" t="s">
        <v>0</v>
      </c>
      <c r="H12" s="20">
        <v>0</v>
      </c>
      <c r="I12" s="3" t="str">
        <f t="shared" si="1"/>
        <v/>
      </c>
    </row>
    <row r="13" spans="1:20" ht="15" customHeight="1" x14ac:dyDescent="0.35">
      <c r="A13" s="9">
        <v>2024</v>
      </c>
      <c r="B13" s="10" t="s">
        <v>55</v>
      </c>
      <c r="C13" s="23" t="s">
        <v>52</v>
      </c>
      <c r="D13" s="11" t="s">
        <v>56</v>
      </c>
      <c r="E13" s="12" t="s">
        <v>97</v>
      </c>
      <c r="F13" s="7" t="s">
        <v>0</v>
      </c>
      <c r="G13" s="20">
        <v>0</v>
      </c>
      <c r="H13" s="1" t="s">
        <v>0</v>
      </c>
      <c r="I13" s="3" t="str">
        <f t="shared" ref="I13:I14" si="2">IF(OR(AND(G13&gt;1,G13&lt;&gt;"-"),AND(H13&gt;1,H13&lt;&gt;"-")),"Can exchange","")</f>
        <v/>
      </c>
    </row>
    <row r="14" spans="1:20" ht="15" customHeight="1" x14ac:dyDescent="0.35">
      <c r="A14" s="9">
        <v>2025</v>
      </c>
      <c r="B14" s="10" t="s">
        <v>55</v>
      </c>
      <c r="C14" s="23" t="s">
        <v>52</v>
      </c>
      <c r="D14" s="11" t="s">
        <v>56</v>
      </c>
      <c r="E14" s="7" t="s">
        <v>0</v>
      </c>
      <c r="F14" s="21" t="s">
        <v>85</v>
      </c>
      <c r="G14" s="1" t="s">
        <v>0</v>
      </c>
      <c r="H14" s="20">
        <v>0</v>
      </c>
      <c r="I14" s="3" t="str">
        <f t="shared" si="2"/>
        <v/>
      </c>
      <c r="S14" s="24"/>
      <c r="T14" s="24"/>
    </row>
    <row r="25" spans="18:19" ht="15" customHeight="1" x14ac:dyDescent="0.35">
      <c r="R25" s="24"/>
      <c r="S25" s="24"/>
    </row>
  </sheetData>
  <autoFilter ref="B2:F2" xr:uid="{00000000-0001-0000-0700-000000000000}"/>
  <mergeCells count="4">
    <mergeCell ref="E1:F1"/>
    <mergeCell ref="G1:H1"/>
    <mergeCell ref="A1:A2"/>
    <mergeCell ref="C1:D1"/>
  </mergeCells>
  <phoneticPr fontId="9" type="noConversion"/>
  <conditionalFormatting sqref="G6">
    <cfRule type="colorScale" priority="3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 G3">
    <cfRule type="colorScale" priority="4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">
    <cfRule type="colorScale" priority="3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G5">
    <cfRule type="colorScale" priority="3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:H5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lorScale" priority="3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lorScale" priority="3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0 G8 G12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0 H8 H12">
    <cfRule type="colorScale" priority="2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1">
    <cfRule type="colorScale" priority="1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">
    <cfRule type="colorScale" priority="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4">
    <cfRule type="colorScale" priority="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">
    <cfRule type="colorScale" priority="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3">
    <cfRule type="colorScale" priority="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0" operator="containsText" text="*-" id="{04D89F84-3BA3-483A-AA4E-B60F8837EE70}">
            <xm:f>NOT(ISERROR(SEARCH(("*-"),('2cents'!G3))))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G3:H7 H8 H12 H10</xm:sqref>
        </x14:conditionalFormatting>
        <x14:conditionalFormatting xmlns:xm="http://schemas.microsoft.com/office/excel/2006/main">
          <x14:cfRule type="containsText" priority="29" operator="containsText" text="*-" id="{E867007A-7BF4-486C-95A8-13206CAF972C}">
            <xm:f>NOT(ISERROR(SEARCH(("*-"),('1cent'!G8))))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G8 G12 G10</xm:sqref>
        </x14:conditionalFormatting>
        <x14:conditionalFormatting xmlns:xm="http://schemas.microsoft.com/office/excel/2006/main">
          <x14:cfRule type="containsText" priority="16" operator="containsText" text="*-" id="{B060F07E-9A5F-4943-9DD8-A5CA74F75759}">
            <xm:f>NOT(ISERROR(SEARCH(("*-"),('2cents'!G11))))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G11</xm:sqref>
        </x14:conditionalFormatting>
        <x14:conditionalFormatting xmlns:xm="http://schemas.microsoft.com/office/excel/2006/main">
          <x14:cfRule type="containsText" priority="13" operator="containsText" text="*-" id="{0B4C5064-66B9-49E5-8885-525969F55537}">
            <xm:f>NOT(ISERROR(SEARCH(("*-"),('1cent'!H11))))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H11</xm:sqref>
        </x14:conditionalFormatting>
        <x14:conditionalFormatting xmlns:xm="http://schemas.microsoft.com/office/excel/2006/main">
          <x14:cfRule type="containsText" priority="12" operator="containsText" text="*-" id="{33F7F4E6-9AFE-4F23-AA99-AE422C0FD292}">
            <xm:f>NOT(ISERROR(SEARCH(("*-"),('2cents'!G9))))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G9</xm:sqref>
        </x14:conditionalFormatting>
        <x14:conditionalFormatting xmlns:xm="http://schemas.microsoft.com/office/excel/2006/main">
          <x14:cfRule type="containsText" priority="9" operator="containsText" text="*-" id="{3B3EDD6E-3564-45AF-97E8-54CCA654CDE0}">
            <xm:f>NOT(ISERROR(SEARCH(("*-"),('1cent'!H9))))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containsText" priority="8" operator="containsText" text="*-" id="{39709BFC-834D-470A-B4C3-1E820C6C58EB}">
            <xm:f>NOT(ISERROR(SEARCH(("*-"),('2cents'!H14))))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H14</xm:sqref>
        </x14:conditionalFormatting>
        <x14:conditionalFormatting xmlns:xm="http://schemas.microsoft.com/office/excel/2006/main">
          <x14:cfRule type="containsText" priority="6" operator="containsText" text="*-" id="{921B9A6D-A308-411F-873E-504527862A58}">
            <xm:f>NOT(ISERROR(SEARCH(("*-"),('1cent'!G14))))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G14</xm:sqref>
        </x14:conditionalFormatting>
        <x14:conditionalFormatting xmlns:xm="http://schemas.microsoft.com/office/excel/2006/main">
          <x14:cfRule type="containsText" priority="4" operator="containsText" text="*-" id="{BFF19C19-5B42-4DEC-9C17-1AC1DF7BC038}">
            <xm:f>NOT(ISERROR(SEARCH(("*-"),('2cents'!G13))))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G13</xm:sqref>
        </x14:conditionalFormatting>
        <x14:conditionalFormatting xmlns:xm="http://schemas.microsoft.com/office/excel/2006/main">
          <x14:cfRule type="containsText" priority="1" operator="containsText" text="*-" id="{AA119541-AB85-44A7-8A94-7ADAA8706D19}">
            <xm:f>NOT(ISERROR(SEARCH(("*-"),('1cent'!H13))))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H13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3" t="s">
        <v>11</v>
      </c>
      <c r="B1" s="14" t="s">
        <v>12</v>
      </c>
      <c r="C1" s="15" t="s">
        <v>13</v>
      </c>
    </row>
    <row r="2" spans="1:3" ht="15" customHeight="1" x14ac:dyDescent="0.35">
      <c r="A2" s="16">
        <v>1</v>
      </c>
      <c r="B2" s="17" t="s">
        <v>14</v>
      </c>
      <c r="C2" s="18" t="s">
        <v>15</v>
      </c>
    </row>
    <row r="3" spans="1:3" ht="15" customHeight="1" x14ac:dyDescent="0.35">
      <c r="A3" s="16">
        <v>2</v>
      </c>
      <c r="B3" s="17" t="s">
        <v>17</v>
      </c>
      <c r="C3" s="18" t="s">
        <v>16</v>
      </c>
    </row>
    <row r="4" spans="1:3" ht="15" customHeight="1" x14ac:dyDescent="0.35">
      <c r="A4" s="16">
        <v>3</v>
      </c>
      <c r="B4" s="17" t="s">
        <v>18</v>
      </c>
      <c r="C4" s="18" t="s">
        <v>49</v>
      </c>
    </row>
    <row r="5" spans="1:3" ht="15" customHeight="1" x14ac:dyDescent="0.35">
      <c r="A5" s="16">
        <v>4</v>
      </c>
      <c r="B5" s="17" t="s">
        <v>19</v>
      </c>
      <c r="C5" s="18" t="s">
        <v>20</v>
      </c>
    </row>
    <row r="6" spans="1:3" ht="15" customHeight="1" x14ac:dyDescent="0.35">
      <c r="A6" s="16">
        <v>5</v>
      </c>
      <c r="B6" s="17" t="s">
        <v>48</v>
      </c>
      <c r="C6" s="22" t="s">
        <v>50</v>
      </c>
    </row>
    <row r="7" spans="1:3" ht="15" customHeight="1" x14ac:dyDescent="0.35">
      <c r="A7" s="16">
        <v>6</v>
      </c>
      <c r="B7" s="17" t="s">
        <v>48</v>
      </c>
      <c r="C7" s="22" t="s">
        <v>51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pageSetup paperSize="9" orientation="portrait" horizontalDpi="300" verticalDpi="300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2026-02-12T08:56:42Z</dcterms:modified>
</cp:coreProperties>
</file>