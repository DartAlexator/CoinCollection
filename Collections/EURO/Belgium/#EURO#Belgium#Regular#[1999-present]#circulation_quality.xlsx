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EURO\Belgium\"/>
    </mc:Choice>
  </mc:AlternateContent>
  <xr:revisionPtr revIDLastSave="0" documentId="13_ncr:1_{BDFA0A4E-8679-4C0E-80A3-96E771B89D55}" xr6:coauthVersionLast="47" xr6:coauthVersionMax="47" xr10:uidLastSave="{00000000-0000-0000-0000-000000000000}"/>
  <bookViews>
    <workbookView xWindow="-110" yWindow="-110" windowWidth="38620" windowHeight="21220" activeTab="7" xr2:uid="{00000000-000D-0000-FFFF-FFFF00000000}"/>
  </bookViews>
  <sheets>
    <sheet name="1cent" sheetId="4" r:id="rId1"/>
    <sheet name="2cents" sheetId="5" r:id="rId2"/>
    <sheet name="5cents" sheetId="7" r:id="rId3"/>
    <sheet name="10cents" sheetId="8" r:id="rId4"/>
    <sheet name="20cents" sheetId="9" r:id="rId5"/>
    <sheet name="50cents" sheetId="10" r:id="rId6"/>
    <sheet name="1€" sheetId="11" r:id="rId7"/>
    <sheet name="2€" sheetId="12" r:id="rId8"/>
    <sheet name="Links" sheetId="6" r:id="rId9"/>
  </sheets>
  <definedNames>
    <definedName name="_xlnm._FilterDatabase" localSheetId="6" hidden="1">'1€'!$B$2:$G$2</definedName>
    <definedName name="_xlnm._FilterDatabase" localSheetId="3" hidden="1">'10cents'!$B$2:$G$2</definedName>
    <definedName name="_xlnm._FilterDatabase" localSheetId="0" hidden="1">'1cent'!$B$2:$G$2</definedName>
    <definedName name="_xlnm._FilterDatabase" localSheetId="7" hidden="1">'2€'!$B$2:$H$2</definedName>
    <definedName name="_xlnm._FilterDatabase" localSheetId="4" hidden="1">'20cents'!$B$2:$H$2</definedName>
    <definedName name="_xlnm._FilterDatabase" localSheetId="1" hidden="1">'2cents'!$B$2:$F$2</definedName>
    <definedName name="_xlnm._FilterDatabase" localSheetId="5" hidden="1">'50cents'!$B$2:$G$2</definedName>
    <definedName name="_xlnm._FilterDatabase" localSheetId="2" hidden="1">'5cents'!$B$2:$F$2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0" i="12" l="1"/>
  <c r="K29" i="12"/>
  <c r="J29" i="11"/>
  <c r="J28" i="11"/>
  <c r="J28" i="10"/>
  <c r="J29" i="10"/>
  <c r="K30" i="9"/>
  <c r="K29" i="9"/>
  <c r="I29" i="7"/>
  <c r="J29" i="8" l="1"/>
  <c r="J28" i="8"/>
  <c r="I28" i="7"/>
  <c r="I29" i="5"/>
  <c r="I28" i="5"/>
  <c r="J30" i="4"/>
  <c r="J29" i="4"/>
  <c r="J26" i="4"/>
  <c r="J27" i="4"/>
  <c r="J28" i="4"/>
  <c r="I25" i="5"/>
  <c r="I26" i="5"/>
  <c r="I27" i="5"/>
  <c r="I25" i="7"/>
  <c r="I26" i="7"/>
  <c r="I27" i="7"/>
  <c r="J25" i="8"/>
  <c r="J26" i="8"/>
  <c r="J27" i="8"/>
  <c r="J25" i="10"/>
  <c r="J26" i="10"/>
  <c r="J27" i="10"/>
  <c r="J27" i="11"/>
  <c r="J25" i="11"/>
  <c r="J26" i="11"/>
  <c r="K27" i="12"/>
  <c r="K28" i="12"/>
  <c r="K26" i="12"/>
  <c r="K27" i="9"/>
  <c r="K28" i="9"/>
  <c r="K26" i="9"/>
  <c r="K25" i="12"/>
  <c r="K24" i="12"/>
  <c r="K23" i="12"/>
  <c r="K22" i="12"/>
  <c r="K21" i="12"/>
  <c r="K20" i="12"/>
  <c r="K19" i="12"/>
  <c r="K18" i="12"/>
  <c r="K17" i="12"/>
  <c r="K16" i="12"/>
  <c r="K15" i="12"/>
  <c r="K14" i="12"/>
  <c r="K13" i="12"/>
  <c r="K12" i="12"/>
  <c r="K11" i="12"/>
  <c r="K10" i="12"/>
  <c r="K9" i="12"/>
  <c r="K8" i="12"/>
  <c r="K7" i="12"/>
  <c r="K6" i="12"/>
  <c r="K5" i="12"/>
  <c r="K4" i="12"/>
  <c r="K3" i="12"/>
  <c r="J24" i="11"/>
  <c r="J23" i="11"/>
  <c r="J22" i="11"/>
  <c r="J21" i="11"/>
  <c r="J20" i="11"/>
  <c r="J19" i="11"/>
  <c r="J18" i="11"/>
  <c r="J17" i="11"/>
  <c r="J16" i="11"/>
  <c r="J15" i="11"/>
  <c r="J14" i="11"/>
  <c r="J13" i="11"/>
  <c r="J12" i="11"/>
  <c r="J11" i="11"/>
  <c r="J10" i="11"/>
  <c r="J9" i="11"/>
  <c r="J8" i="11"/>
  <c r="J7" i="11"/>
  <c r="J6" i="11"/>
  <c r="J5" i="11"/>
  <c r="J4" i="11"/>
  <c r="J3" i="11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K22" i="9"/>
  <c r="K23" i="9"/>
  <c r="K24" i="9"/>
  <c r="K25" i="9"/>
  <c r="K21" i="9"/>
  <c r="K20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6" i="9"/>
  <c r="K5" i="9"/>
  <c r="K4" i="9"/>
  <c r="K3" i="9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J7" i="8"/>
  <c r="J6" i="8"/>
  <c r="J5" i="8"/>
  <c r="J4" i="8"/>
  <c r="J3" i="8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3" i="7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Monnaie royale de Belgique
 (Belgium mint)</t>
        </r>
      </text>
    </comment>
    <comment ref="G2" authorId="0" shapeId="0" xr:uid="{3ABD0146-F228-446D-8580-429C6AE0CF11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H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Monnaie royale de Belgique
 (Belgium mint)</t>
        </r>
      </text>
    </comment>
    <comment ref="I2" authorId="0" shapeId="0" xr:uid="{608A13B1-4618-40D5-A2D2-385DD0DBA098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Monnaie royale de Belgique
 (Belgium mint)</t>
        </r>
      </text>
    </comment>
    <comment ref="F2" authorId="0" shapeId="0" xr:uid="{1B41EBB1-C852-4905-B468-FCB25FA603F3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G2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Monnaie royale de Belgique
 (Belgium mint)</t>
        </r>
      </text>
    </comment>
    <comment ref="H2" authorId="0" shapeId="0" xr:uid="{9A295E84-BB73-4745-9F11-B0A064F752BC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426EE2CE-AF79-438D-97EB-39FBDAB56F4B}">
      <text>
        <r>
          <rPr>
            <b/>
            <sz val="9"/>
            <color indexed="81"/>
            <rFont val="Tahoma"/>
            <family val="2"/>
            <charset val="204"/>
          </rPr>
          <t>Monnaie royale de Belgique
 (Belgium mint)</t>
        </r>
      </text>
    </comment>
    <comment ref="F2" authorId="0" shapeId="0" xr:uid="{F7887882-460A-4AD3-A10C-0CB065F202AA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G2" authorId="0" shapeId="0" xr:uid="{1938DA9C-1BE0-4CCE-A5DE-550073F2E4E0}">
      <text>
        <r>
          <rPr>
            <b/>
            <sz val="9"/>
            <color indexed="81"/>
            <rFont val="Tahoma"/>
            <family val="2"/>
            <charset val="204"/>
          </rPr>
          <t>Monnaie royale de Belgique
 (Belgium mint)</t>
        </r>
      </text>
    </comment>
    <comment ref="H2" authorId="0" shapeId="0" xr:uid="{9C9E8AE6-426C-4652-98A9-2D972BBE91C8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4DC36CC3-4068-445A-8772-B39FEAF8E663}">
      <text>
        <r>
          <rPr>
            <b/>
            <sz val="9"/>
            <color indexed="81"/>
            <rFont val="Tahoma"/>
            <family val="2"/>
            <charset val="204"/>
          </rPr>
          <t>Monnaie royale de Belgique
 (Belgium mint)</t>
        </r>
      </text>
    </comment>
    <comment ref="G2" authorId="0" shapeId="0" xr:uid="{7D271EE5-BDB3-44A6-B7C4-F5D683F0E789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H2" authorId="0" shapeId="0" xr:uid="{B525D0C8-462F-42B5-82ED-6F80029E0813}">
      <text>
        <r>
          <rPr>
            <b/>
            <sz val="9"/>
            <color indexed="81"/>
            <rFont val="Tahoma"/>
            <family val="2"/>
            <charset val="204"/>
          </rPr>
          <t>Monnaie royale de Belgique
 (Belgium mint)</t>
        </r>
      </text>
    </comment>
    <comment ref="I2" authorId="0" shapeId="0" xr:uid="{75453F95-3204-4C14-B3FC-7F57CD43CC19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G2" authorId="0" shapeId="0" xr:uid="{24B20FFE-AAF3-47E7-878B-D12EFD78F5BD}">
      <text>
        <r>
          <rPr>
            <b/>
            <sz val="9"/>
            <color indexed="81"/>
            <rFont val="Tahoma"/>
            <family val="2"/>
            <charset val="204"/>
          </rPr>
          <t>Monnaie royale de Belgique
 (Belgium mint)</t>
        </r>
      </text>
    </comment>
    <comment ref="H2" authorId="0" shapeId="0" xr:uid="{85D867B1-8D20-4E30-9A5A-95F231C561FE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I2" authorId="0" shapeId="0" xr:uid="{D164D6E9-AE35-4EEE-91FD-0B6A6C0738DF}">
      <text>
        <r>
          <rPr>
            <b/>
            <sz val="9"/>
            <color indexed="81"/>
            <rFont val="Tahoma"/>
            <family val="2"/>
            <charset val="204"/>
          </rPr>
          <t>Monnaie royale de Belgique
 (Belgium mint)</t>
        </r>
      </text>
    </comment>
    <comment ref="J2" authorId="0" shapeId="0" xr:uid="{83A3907A-564C-405E-B43D-3B5CA354B071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2346D2CA-78E2-4E0A-AE3E-3BD43EA9F3B0}">
      <text>
        <r>
          <rPr>
            <b/>
            <sz val="9"/>
            <color indexed="81"/>
            <rFont val="Tahoma"/>
            <family val="2"/>
            <charset val="204"/>
          </rPr>
          <t>Monnaie royale de Belgique
 (Belgium mint)</t>
        </r>
      </text>
    </comment>
    <comment ref="G2" authorId="0" shapeId="0" xr:uid="{801597A7-9E9C-4C5D-9621-265F38549011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H2" authorId="0" shapeId="0" xr:uid="{A394F866-F6E1-48B1-9713-4A29744BE315}">
      <text>
        <r>
          <rPr>
            <b/>
            <sz val="9"/>
            <color indexed="81"/>
            <rFont val="Tahoma"/>
            <family val="2"/>
            <charset val="204"/>
          </rPr>
          <t>Monnaie royale de Belgique
 (Belgium mint)</t>
        </r>
      </text>
    </comment>
    <comment ref="I2" authorId="0" shapeId="0" xr:uid="{06A74A24-B56E-459E-8673-FA0333FD613E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A7486E59-8C10-42B5-8D40-47F885EFA900}">
      <text>
        <r>
          <rPr>
            <b/>
            <sz val="9"/>
            <color indexed="81"/>
            <rFont val="Tahoma"/>
            <family val="2"/>
            <charset val="204"/>
          </rPr>
          <t>Monnaie royale de Belgique
 (Belgium mint)</t>
        </r>
      </text>
    </comment>
    <comment ref="G2" authorId="0" shapeId="0" xr:uid="{83A13D7F-E732-446B-87CB-4C3051E9E256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H2" authorId="0" shapeId="0" xr:uid="{F972A86E-2462-4A20-BFB8-27851A00FF0D}">
      <text>
        <r>
          <rPr>
            <b/>
            <sz val="9"/>
            <color indexed="81"/>
            <rFont val="Tahoma"/>
            <family val="2"/>
            <charset val="204"/>
          </rPr>
          <t>Monnaie royale de Belgique
 (Belgium mint)</t>
        </r>
      </text>
    </comment>
    <comment ref="I2" authorId="0" shapeId="0" xr:uid="{18975990-13EB-4DC4-8FB0-0093D66EF50E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G2" authorId="0" shapeId="0" xr:uid="{DC5A26F8-8C40-4210-9E78-9C639678A01F}">
      <text>
        <r>
          <rPr>
            <b/>
            <sz val="9"/>
            <color indexed="81"/>
            <rFont val="Tahoma"/>
            <family val="2"/>
            <charset val="204"/>
          </rPr>
          <t>Monnaie royale de Belgique
 (Belgium mint)</t>
        </r>
      </text>
    </comment>
    <comment ref="H2" authorId="0" shapeId="0" xr:uid="{75664750-4A7A-42D3-A589-62FC5AFB8357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  <comment ref="I2" authorId="0" shapeId="0" xr:uid="{982F4EB1-C055-4D6A-AEBB-F7795E2328A6}">
      <text>
        <r>
          <rPr>
            <b/>
            <sz val="9"/>
            <color indexed="81"/>
            <rFont val="Tahoma"/>
            <family val="2"/>
            <charset val="204"/>
          </rPr>
          <t>Monnaie royale de Belgique
 (Belgium mint)</t>
        </r>
      </text>
    </comment>
    <comment ref="J2" authorId="0" shapeId="0" xr:uid="{5F4188D9-D2F7-4490-9372-3B7799009939}">
      <text>
        <r>
          <rPr>
            <b/>
            <sz val="9"/>
            <color indexed="81"/>
            <rFont val="Tahoma"/>
            <family val="2"/>
            <charset val="204"/>
          </rPr>
          <t>Koninklijke Nederlandse Munt
(Netherlands mint(Utrecht))</t>
        </r>
      </text>
    </comment>
  </commentList>
</comments>
</file>

<file path=xl/sharedStrings.xml><?xml version="1.0" encoding="utf-8"?>
<sst xmlns="http://schemas.openxmlformats.org/spreadsheetml/2006/main" count="1670" uniqueCount="170">
  <si>
    <t>-</t>
  </si>
  <si>
    <t>Year</t>
  </si>
  <si>
    <t>Type</t>
  </si>
  <si>
    <t>Mintage</t>
  </si>
  <si>
    <t>1cent</t>
  </si>
  <si>
    <t>2cents</t>
  </si>
  <si>
    <t>5cents</t>
  </si>
  <si>
    <t>10cents</t>
  </si>
  <si>
    <t>Rev: old map of Europe</t>
  </si>
  <si>
    <t>Rev: new map of Europe</t>
  </si>
  <si>
    <t>20cents</t>
  </si>
  <si>
    <t>50cents</t>
  </si>
  <si>
    <t>1€</t>
  </si>
  <si>
    <t>№</t>
  </si>
  <si>
    <t>Link</t>
  </si>
  <si>
    <t>Description (single table, table set, mintage, prices):</t>
  </si>
  <si>
    <t>en.ucoin.net</t>
  </si>
  <si>
    <t>Middle convenience set of table with mintages and varieties</t>
  </si>
  <si>
    <t>Middle convenience single table with mintages</t>
  </si>
  <si>
    <t>euro-coins</t>
  </si>
  <si>
    <t>euro-coins.info</t>
  </si>
  <si>
    <t>Low convenience table of varities</t>
  </si>
  <si>
    <t>img-fotki.yandex</t>
  </si>
  <si>
    <t>Photo of coins</t>
  </si>
  <si>
    <t>BE</t>
  </si>
  <si>
    <t>235.250.387</t>
  </si>
  <si>
    <t>50.388</t>
  </si>
  <si>
    <t>99.850.388</t>
  </si>
  <si>
    <t>147.866</t>
  </si>
  <si>
    <t>10.197.966</t>
  </si>
  <si>
    <t>180.073.262</t>
  </si>
  <si>
    <t>56.018</t>
  </si>
  <si>
    <t>15.050.018</t>
  </si>
  <si>
    <t>60.057.006</t>
  </si>
  <si>
    <t>42.506</t>
  </si>
  <si>
    <t>19.991.006</t>
  </si>
  <si>
    <t>30.143.850</t>
  </si>
  <si>
    <t>10.018.850</t>
  </si>
  <si>
    <t>19.983.850</t>
  </si>
  <si>
    <t>70.025.500</t>
  </si>
  <si>
    <t>74.109</t>
  </si>
  <si>
    <t>14.921.367</t>
  </si>
  <si>
    <t>28.902.160</t>
  </si>
  <si>
    <t>1.657.942</t>
  </si>
  <si>
    <t>47.750</t>
  </si>
  <si>
    <t>29.000</t>
  </si>
  <si>
    <t>50.387</t>
  </si>
  <si>
    <t>337.050.388</t>
  </si>
  <si>
    <t>40.197.966</t>
  </si>
  <si>
    <t>159.323.262</t>
  </si>
  <si>
    <t>30.050.018</t>
  </si>
  <si>
    <t>70.057.006</t>
  </si>
  <si>
    <t>10.041.006</t>
  </si>
  <si>
    <t>20.043.850</t>
  </si>
  <si>
    <t>43.850</t>
  </si>
  <si>
    <t>15.033.850</t>
  </si>
  <si>
    <t>32.650.500</t>
  </si>
  <si>
    <t>3.199.109</t>
  </si>
  <si>
    <t>21.921.367</t>
  </si>
  <si>
    <t>17.027.160</t>
  </si>
  <si>
    <t>23.442</t>
  </si>
  <si>
    <t>300.050.387</t>
  </si>
  <si>
    <t>30.197.966</t>
  </si>
  <si>
    <t>80.073.262</t>
  </si>
  <si>
    <t>110.056.018</t>
  </si>
  <si>
    <t>35.050.018</t>
  </si>
  <si>
    <t>57.006</t>
  </si>
  <si>
    <t>41.006</t>
  </si>
  <si>
    <t>25.043.850</t>
  </si>
  <si>
    <t>22.533.850</t>
  </si>
  <si>
    <t>17.025.500</t>
  </si>
  <si>
    <t>14.574.109</t>
  </si>
  <si>
    <t>10.046.367</t>
  </si>
  <si>
    <t>28.527.160</t>
  </si>
  <si>
    <t>48.467.942</t>
  </si>
  <si>
    <t>5.347.750</t>
  </si>
  <si>
    <t>10.029.000</t>
  </si>
  <si>
    <t>181.000.387</t>
  </si>
  <si>
    <t>145.800.388</t>
  </si>
  <si>
    <t>197.966</t>
  </si>
  <si>
    <t>20.073.262</t>
  </si>
  <si>
    <t>10.056.018</t>
  </si>
  <si>
    <t>50.018</t>
  </si>
  <si>
    <t>25.033.850</t>
  </si>
  <si>
    <t>5.025.500</t>
  </si>
  <si>
    <t>11.046.367</t>
  </si>
  <si>
    <t>27.160</t>
  </si>
  <si>
    <t>3.023.442</t>
  </si>
  <si>
    <t>12.347.750</t>
  </si>
  <si>
    <t>5.029.000</t>
  </si>
  <si>
    <t>181.050.388</t>
  </si>
  <si>
    <t>104.147.866</t>
  </si>
  <si>
    <t>70.073.262</t>
  </si>
  <si>
    <t>40.050.018</t>
  </si>
  <si>
    <t>25.117.287</t>
  </si>
  <si>
    <t>20.062.506</t>
  </si>
  <si>
    <t>30.141.006</t>
  </si>
  <si>
    <t>15.093.850</t>
  </si>
  <si>
    <t>40.293.850</t>
  </si>
  <si>
    <t>42.383.850</t>
  </si>
  <si>
    <t>25.500</t>
  </si>
  <si>
    <t>46.367</t>
  </si>
  <si>
    <t>21.029.000</t>
  </si>
  <si>
    <t>197.050.387</t>
  </si>
  <si>
    <t>50.147.866</t>
  </si>
  <si>
    <t>15.073.262</t>
  </si>
  <si>
    <t>5.057.006</t>
  </si>
  <si>
    <t>25.042.506</t>
  </si>
  <si>
    <t>30.041.006</t>
  </si>
  <si>
    <t>15.043.850</t>
  </si>
  <si>
    <t>30.033.850</t>
  </si>
  <si>
    <t>10.074.109</t>
  </si>
  <si>
    <t>2.027.160</t>
  </si>
  <si>
    <t>5.023.442</t>
  </si>
  <si>
    <t>12.029.000</t>
  </si>
  <si>
    <t>160.050.387</t>
  </si>
  <si>
    <t>84.647.866</t>
  </si>
  <si>
    <t>6.197.966</t>
  </si>
  <si>
    <t>5.042.506</t>
  </si>
  <si>
    <t>10.033.850</t>
  </si>
  <si>
    <t>120.050.388</t>
  </si>
  <si>
    <t>60.073.262</t>
  </si>
  <si>
    <t>10.533.006</t>
  </si>
  <si>
    <t>20.050.018</t>
  </si>
  <si>
    <t>35.042.006</t>
  </si>
  <si>
    <t>20.042.506</t>
  </si>
  <si>
    <t>32.043.850</t>
  </si>
  <si>
    <t>23.850</t>
  </si>
  <si>
    <t>3.229.000</t>
  </si>
  <si>
    <t>Obv: Albert II</t>
  </si>
  <si>
    <t>Obv: New Albert II design</t>
  </si>
  <si>
    <t xml:space="preserve">Obv: Philippe </t>
  </si>
  <si>
    <t>eurocollection</t>
  </si>
  <si>
    <t>High convenience single table of varieties with photos</t>
  </si>
  <si>
    <t>High convenience set of tables table of actual coins with photos</t>
  </si>
  <si>
    <t>N/A</t>
  </si>
  <si>
    <t>Obv: Large stars</t>
  </si>
  <si>
    <t>Obv: Normal stars</t>
  </si>
  <si>
    <t>Rev: Rough map</t>
  </si>
  <si>
    <t>Rev: Smooth map</t>
  </si>
  <si>
    <t>Obv: Without mint symbol</t>
  </si>
  <si>
    <t>Obv: With mint symbol - 
Archangel Michael</t>
  </si>
  <si>
    <t>Obv: Mint director symbol - Libra</t>
  </si>
  <si>
    <t>Obv: Mint director symbol - Pen</t>
  </si>
  <si>
    <t>Obv: Mint director symbol - Cat</t>
  </si>
  <si>
    <t>Obv: Mint director symbol - Shield</t>
  </si>
  <si>
    <t>Obv: Without mint director symbol</t>
  </si>
  <si>
    <t>Obv: With mint symbol - 
Staff of Mercury</t>
  </si>
  <si>
    <t>21.500</t>
  </si>
  <si>
    <t>NL</t>
  </si>
  <si>
    <t>Obv: Mint director symbol - Aster flower</t>
  </si>
  <si>
    <t>13.750</t>
  </si>
  <si>
    <t>13.500</t>
  </si>
  <si>
    <t>34.913.500</t>
  </si>
  <si>
    <t>15.500</t>
  </si>
  <si>
    <t>9.015.500</t>
  </si>
  <si>
    <t>7.515.500</t>
  </si>
  <si>
    <t>Subject</t>
  </si>
  <si>
    <t>Subtype_3#Special_distinctions_1</t>
  </si>
  <si>
    <t>Subtype_1#Special_marks_1</t>
  </si>
  <si>
    <t>Subtype_2#Special_marks_2</t>
  </si>
  <si>
    <t>Subtype_2#Map_of_Europe</t>
  </si>
  <si>
    <t>Subtype_3#Special_marks_2</t>
  </si>
  <si>
    <t>Subtype_4#Special_distinctions_1</t>
  </si>
  <si>
    <t>8.500</t>
  </si>
  <si>
    <t>6.500</t>
  </si>
  <si>
    <t>7.500</t>
  </si>
  <si>
    <t>13.906.500</t>
  </si>
  <si>
    <t>7.507.500</t>
  </si>
  <si>
    <t>3.206.500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</si>
</sst>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1];[Red]\-#,##0\ [$€-1]"/>
  </numFmts>
  <fonts count="10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11"/>
      <name val="Calibri"/>
      <family val="2"/>
      <charset val="204"/>
      <scheme val="minor"/>
    </font>
    <font>
      <sz val="11"/>
      <color rgb="FFC00000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1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sz val="8"/>
      <name val="Calibri"/>
      <family val="2"/>
      <charset val="204"/>
    </font>
    <font>
      <sz val="8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6C3A0"/>
        <bgColor indexed="64"/>
      </patternFill>
    </fill>
    <fill>
      <patternFill patternType="solid">
        <fgColor rgb="FFFAD9C2"/>
        <bgColor indexed="64"/>
      </patternFill>
    </fill>
    <fill>
      <patternFill patternType="solid">
        <fgColor rgb="FFF1955D"/>
        <bgColor rgb="FF000000"/>
      </patternFill>
    </fill>
    <fill>
      <patternFill patternType="solid">
        <fgColor rgb="FFF3B285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1"/>
    <xf numFmtId="0" fontId="4" fillId="0" borderId="0" xfId="1" applyFont="1" applyAlignment="1">
      <alignment horizontal="center" vertical="center"/>
    </xf>
    <xf numFmtId="0" fontId="0" fillId="0" borderId="0" xfId="0" applyFont="1" applyAlignment="1"/>
    <xf numFmtId="0" fontId="1" fillId="0" borderId="0" xfId="0" applyFont="1"/>
    <xf numFmtId="3" fontId="3" fillId="4" borderId="2" xfId="0" applyNumberFormat="1" applyFont="1" applyFill="1" applyBorder="1" applyAlignment="1">
      <alignment horizontal="center" vertical="center"/>
    </xf>
    <xf numFmtId="3" fontId="3" fillId="6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3" fontId="3" fillId="6" borderId="2" xfId="0" applyNumberFormat="1" applyFont="1" applyFill="1" applyBorder="1" applyAlignment="1">
      <alignment horizontal="center" vertical="center" shrinkToFit="1"/>
    </xf>
    <xf numFmtId="3" fontId="3" fillId="3" borderId="2" xfId="0" applyNumberFormat="1" applyFont="1" applyFill="1" applyBorder="1" applyAlignment="1">
      <alignment horizontal="center" vertical="center" shrinkToFit="1"/>
    </xf>
    <xf numFmtId="3" fontId="3" fillId="4" borderId="2" xfId="0" applyNumberFormat="1" applyFont="1" applyFill="1" applyBorder="1" applyAlignment="1">
      <alignment horizontal="center" vertical="center" shrinkToFit="1"/>
    </xf>
    <xf numFmtId="49" fontId="1" fillId="0" borderId="0" xfId="0" applyNumberFormat="1" applyFont="1"/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0" fillId="0" borderId="0" xfId="0" applyAlignment="1">
      <alignment horizontal="center" vertical="center"/>
    </xf>
    <xf numFmtId="0" fontId="5" fillId="0" borderId="0" xfId="2" applyAlignment="1">
      <alignment horizontal="center" vertical="center"/>
    </xf>
    <xf numFmtId="0" fontId="1" fillId="0" borderId="0" xfId="0" applyFont="1" applyAlignment="1">
      <alignment wrapText="1"/>
    </xf>
    <xf numFmtId="3" fontId="7" fillId="2" borderId="2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wrapText="1"/>
    </xf>
    <xf numFmtId="3" fontId="3" fillId="3" borderId="8" xfId="0" applyNumberFormat="1" applyFont="1" applyFill="1" applyBorder="1" applyAlignment="1">
      <alignment horizontal="center" vertical="center" shrinkToFit="1"/>
    </xf>
    <xf numFmtId="3" fontId="3" fillId="6" borderId="8" xfId="0" applyNumberFormat="1" applyFont="1" applyFill="1" applyBorder="1" applyAlignment="1">
      <alignment horizontal="center" vertical="center"/>
    </xf>
    <xf numFmtId="3" fontId="3" fillId="4" borderId="8" xfId="0" applyNumberFormat="1" applyFont="1" applyFill="1" applyBorder="1" applyAlignment="1">
      <alignment horizontal="center" vertical="center"/>
    </xf>
    <xf numFmtId="3" fontId="3" fillId="4" borderId="8" xfId="0" applyNumberFormat="1" applyFont="1" applyFill="1" applyBorder="1" applyAlignment="1">
      <alignment horizontal="center" vertical="center" shrinkToFit="1"/>
    </xf>
    <xf numFmtId="0" fontId="0" fillId="0" borderId="8" xfId="0" applyBorder="1" applyAlignment="1">
      <alignment horizontal="center"/>
    </xf>
    <xf numFmtId="3" fontId="7" fillId="2" borderId="8" xfId="0" applyNumberFormat="1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164" fontId="0" fillId="0" borderId="0" xfId="0" applyNumberFormat="1"/>
    <xf numFmtId="0" fontId="6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5" borderId="9" xfId="0" applyFont="1" applyFill="1" applyBorder="1" applyAlignment="1">
      <alignment shrinkToFit="1"/>
    </xf>
    <xf numFmtId="0" fontId="0" fillId="0" borderId="0" xfId="0" applyAlignment="1">
      <alignment shrinkToFit="1"/>
    </xf>
    <xf numFmtId="0" fontId="6" fillId="5" borderId="9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6" fillId="5" borderId="9" xfId="0" applyFont="1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164" fontId="6" fillId="5" borderId="9" xfId="0" applyNumberFormat="1" applyFont="1" applyFill="1" applyBorder="1" applyAlignment="1">
      <alignment horizontal="center" shrinkToFit="1"/>
    </xf>
  </cellXfs>
  <cellStyles count="3">
    <cellStyle name="Гиперссылка" xfId="2" builtinId="8"/>
    <cellStyle name="Обычный" xfId="0" builtinId="0"/>
    <cellStyle name="Обычный 2" xfId="1" xr:uid="{00000000-0005-0000-0000-000002000000}"/>
  </cellStyles>
  <dxfs count="142"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</dxfs>
  <tableStyles count="0" defaultTableStyle="TableStyleMedium2" defaultPivotStyle="PivotStyleLight16"/>
  <colors>
    <mruColors>
      <color rgb="FFF3B285"/>
      <color rgb="FFF1955D"/>
      <color rgb="FFF9D3B9"/>
      <color rgb="FFFAD9C2"/>
      <color rgb="FFF6C3A0"/>
      <color rgb="FFF5B8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7" totalsRowShown="0">
  <autoFilter ref="A1:C7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46"/>
    <tableColumn id="2" xr3:uid="{00000000-0010-0000-0000-000002000000}" name="Link" dataDxfId="45" dataCellStyle="Гиперссылка"/>
    <tableColumn id="3" xr3:uid="{00000000-0010-0000-0000-000003000000}" name="Description (single table, table set, mintage, prices):" dataDxfId="44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uro-coins.info/images/files/Tablitsa_raznovidnostey_monet_evro_UNC.pdf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euro-coins.info/info/mintage/belgium.html" TargetMode="External"/><Relationship Id="rId1" Type="http://schemas.openxmlformats.org/officeDocument/2006/relationships/hyperlink" Target="https://en.ucoin.net/catalog/?country=belgium" TargetMode="External"/><Relationship Id="rId6" Type="http://schemas.openxmlformats.org/officeDocument/2006/relationships/hyperlink" Target="http://www.eurocollection.co.uk/Variants.html" TargetMode="External"/><Relationship Id="rId5" Type="http://schemas.openxmlformats.org/officeDocument/2006/relationships/hyperlink" Target="http://www.eurocollection.co.uk/" TargetMode="External"/><Relationship Id="rId4" Type="http://schemas.openxmlformats.org/officeDocument/2006/relationships/hyperlink" Target="https://img-fotki.yandex.ru/get/6522/3621775.137/0_8f474_244963fb_ori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zoomScaleNormal="100" workbookViewId="0">
      <pane xSplit="10" ySplit="2" topLeftCell="K3" activePane="bottomRight" state="frozen"/>
      <selection pane="topRight" activeCell="H1" sqref="H1"/>
      <selection pane="bottomLeft" activeCell="A3" sqref="A3"/>
      <selection pane="bottomRight" activeCell="G35" sqref="G35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5" width="33.6328125" style="4" customWidth="1"/>
    <col min="6" max="7" width="12.6328125" style="4" customWidth="1"/>
    <col min="8" max="9" width="3.6328125" style="4" customWidth="1"/>
    <col min="10" max="10" width="12.6328125" style="4" customWidth="1"/>
  </cols>
  <sheetData>
    <row r="1" spans="1:12" ht="15" customHeight="1" x14ac:dyDescent="0.35">
      <c r="A1" s="30" t="s">
        <v>1</v>
      </c>
      <c r="B1" s="29"/>
      <c r="C1" s="32" t="s">
        <v>2</v>
      </c>
      <c r="D1" s="33"/>
      <c r="E1" s="34"/>
      <c r="F1" s="37" t="s">
        <v>3</v>
      </c>
      <c r="G1" s="38"/>
      <c r="H1" s="35" t="s">
        <v>4</v>
      </c>
      <c r="I1" s="36"/>
      <c r="J1" s="2"/>
    </row>
    <row r="2" spans="1:12" ht="15" customHeight="1" x14ac:dyDescent="0.35">
      <c r="A2" s="31"/>
      <c r="B2" s="29" t="s">
        <v>157</v>
      </c>
      <c r="C2" s="6" t="s">
        <v>159</v>
      </c>
      <c r="D2" s="6" t="s">
        <v>160</v>
      </c>
      <c r="E2" s="6" t="s">
        <v>158</v>
      </c>
      <c r="F2" s="22" t="s">
        <v>24</v>
      </c>
      <c r="G2" s="22" t="s">
        <v>149</v>
      </c>
      <c r="H2" s="23" t="s">
        <v>24</v>
      </c>
      <c r="I2" s="23" t="s">
        <v>149</v>
      </c>
      <c r="J2" s="2"/>
    </row>
    <row r="3" spans="1:12" ht="15" customHeight="1" x14ac:dyDescent="0.35">
      <c r="A3" s="8">
        <v>1999</v>
      </c>
      <c r="B3" s="9" t="s">
        <v>129</v>
      </c>
      <c r="C3" s="21" t="s">
        <v>140</v>
      </c>
      <c r="D3" s="10" t="s">
        <v>146</v>
      </c>
      <c r="E3" s="10" t="s">
        <v>137</v>
      </c>
      <c r="F3" s="24" t="s">
        <v>25</v>
      </c>
      <c r="G3" s="27" t="s">
        <v>0</v>
      </c>
      <c r="H3" s="25">
        <v>0</v>
      </c>
      <c r="I3" s="25" t="s">
        <v>0</v>
      </c>
      <c r="J3" s="3" t="str">
        <f>IF(OR(AND(H3&gt;1,H3&lt;&gt;"-"),AND(I3&gt;1,I3&lt;&gt;"-")),"Can exchange","")</f>
        <v/>
      </c>
    </row>
    <row r="4" spans="1:12" ht="15" customHeight="1" x14ac:dyDescent="0.35">
      <c r="A4" s="8">
        <v>1999</v>
      </c>
      <c r="B4" s="9" t="s">
        <v>129</v>
      </c>
      <c r="C4" s="21" t="s">
        <v>140</v>
      </c>
      <c r="D4" s="10" t="s">
        <v>146</v>
      </c>
      <c r="E4" s="10" t="s">
        <v>136</v>
      </c>
      <c r="F4" s="24" t="s">
        <v>135</v>
      </c>
      <c r="G4" s="27" t="s">
        <v>0</v>
      </c>
      <c r="H4" s="25">
        <v>0</v>
      </c>
      <c r="I4" s="25" t="s">
        <v>0</v>
      </c>
      <c r="J4" s="3" t="str">
        <f t="shared" ref="J4:J25" si="0">IF(OR(AND(H4&gt;1,H4&lt;&gt;"-"),AND(I4&gt;1,I4&lt;&gt;"-")),"Can exchange","")</f>
        <v/>
      </c>
    </row>
    <row r="5" spans="1:12" ht="15" customHeight="1" x14ac:dyDescent="0.35">
      <c r="A5" s="8">
        <v>2000</v>
      </c>
      <c r="B5" s="9" t="s">
        <v>129</v>
      </c>
      <c r="C5" s="21" t="s">
        <v>140</v>
      </c>
      <c r="D5" s="10" t="s">
        <v>146</v>
      </c>
      <c r="E5" s="10"/>
      <c r="F5" s="26" t="s">
        <v>26</v>
      </c>
      <c r="G5" s="27" t="s">
        <v>0</v>
      </c>
      <c r="H5" s="25" t="s">
        <v>0</v>
      </c>
      <c r="I5" s="25" t="s">
        <v>0</v>
      </c>
      <c r="J5" s="3" t="str">
        <f t="shared" si="0"/>
        <v/>
      </c>
    </row>
    <row r="6" spans="1:12" ht="15" customHeight="1" x14ac:dyDescent="0.35">
      <c r="A6" s="8">
        <v>2001</v>
      </c>
      <c r="B6" s="9" t="s">
        <v>129</v>
      </c>
      <c r="C6" s="21" t="s">
        <v>140</v>
      </c>
      <c r="D6" s="10" t="s">
        <v>146</v>
      </c>
      <c r="E6" s="10"/>
      <c r="F6" s="24" t="s">
        <v>27</v>
      </c>
      <c r="G6" s="27" t="s">
        <v>0</v>
      </c>
      <c r="H6" s="25">
        <v>0</v>
      </c>
      <c r="I6" s="25" t="s">
        <v>0</v>
      </c>
      <c r="J6" s="3" t="str">
        <f t="shared" si="0"/>
        <v/>
      </c>
    </row>
    <row r="7" spans="1:12" ht="15" customHeight="1" x14ac:dyDescent="0.35">
      <c r="A7" s="8">
        <v>2002</v>
      </c>
      <c r="B7" s="9" t="s">
        <v>129</v>
      </c>
      <c r="C7" s="21" t="s">
        <v>140</v>
      </c>
      <c r="D7" s="10" t="s">
        <v>146</v>
      </c>
      <c r="E7" s="10"/>
      <c r="F7" s="26" t="s">
        <v>28</v>
      </c>
      <c r="G7" s="27" t="s">
        <v>0</v>
      </c>
      <c r="H7" s="25" t="s">
        <v>0</v>
      </c>
      <c r="I7" s="25" t="s">
        <v>0</v>
      </c>
      <c r="J7" s="3" t="str">
        <f t="shared" si="0"/>
        <v/>
      </c>
      <c r="L7" s="5"/>
    </row>
    <row r="8" spans="1:12" ht="15" customHeight="1" x14ac:dyDescent="0.35">
      <c r="A8" s="8">
        <v>2003</v>
      </c>
      <c r="B8" s="9" t="s">
        <v>129</v>
      </c>
      <c r="C8" s="21" t="s">
        <v>140</v>
      </c>
      <c r="D8" s="10" t="s">
        <v>146</v>
      </c>
      <c r="E8" s="10"/>
      <c r="F8" s="24" t="s">
        <v>29</v>
      </c>
      <c r="G8" s="27" t="s">
        <v>0</v>
      </c>
      <c r="H8" s="25">
        <v>0</v>
      </c>
      <c r="I8" s="25" t="s">
        <v>0</v>
      </c>
      <c r="J8" s="3" t="str">
        <f t="shared" si="0"/>
        <v/>
      </c>
      <c r="L8" s="5"/>
    </row>
    <row r="9" spans="1:12" ht="15" customHeight="1" x14ac:dyDescent="0.35">
      <c r="A9" s="8">
        <v>2004</v>
      </c>
      <c r="B9" s="9" t="s">
        <v>129</v>
      </c>
      <c r="C9" s="21" t="s">
        <v>140</v>
      </c>
      <c r="D9" s="10" t="s">
        <v>146</v>
      </c>
      <c r="E9" s="10"/>
      <c r="F9" s="24" t="s">
        <v>30</v>
      </c>
      <c r="G9" s="27" t="s">
        <v>0</v>
      </c>
      <c r="H9" s="25">
        <v>0</v>
      </c>
      <c r="I9" s="25" t="s">
        <v>0</v>
      </c>
      <c r="J9" s="3" t="str">
        <f t="shared" si="0"/>
        <v/>
      </c>
    </row>
    <row r="10" spans="1:12" ht="15" customHeight="1" x14ac:dyDescent="0.35">
      <c r="A10" s="8">
        <v>2005</v>
      </c>
      <c r="B10" s="9" t="s">
        <v>129</v>
      </c>
      <c r="C10" s="21" t="s">
        <v>140</v>
      </c>
      <c r="D10" s="10" t="s">
        <v>146</v>
      </c>
      <c r="E10" s="10"/>
      <c r="F10" s="26" t="s">
        <v>31</v>
      </c>
      <c r="G10" s="27" t="s">
        <v>0</v>
      </c>
      <c r="H10" s="25" t="s">
        <v>0</v>
      </c>
      <c r="I10" s="25" t="s">
        <v>0</v>
      </c>
      <c r="J10" s="3" t="str">
        <f t="shared" si="0"/>
        <v/>
      </c>
    </row>
    <row r="11" spans="1:12" ht="15" customHeight="1" x14ac:dyDescent="0.35">
      <c r="A11" s="8">
        <v>2006</v>
      </c>
      <c r="B11" s="9" t="s">
        <v>129</v>
      </c>
      <c r="C11" s="21" t="s">
        <v>140</v>
      </c>
      <c r="D11" s="10" t="s">
        <v>146</v>
      </c>
      <c r="E11" s="10"/>
      <c r="F11" s="24" t="s">
        <v>32</v>
      </c>
      <c r="G11" s="27" t="s">
        <v>0</v>
      </c>
      <c r="H11" s="25">
        <v>0</v>
      </c>
      <c r="I11" s="25" t="s">
        <v>0</v>
      </c>
      <c r="J11" s="3" t="str">
        <f t="shared" si="0"/>
        <v/>
      </c>
    </row>
    <row r="12" spans="1:12" ht="15" customHeight="1" x14ac:dyDescent="0.35">
      <c r="A12" s="8">
        <v>2007</v>
      </c>
      <c r="B12" s="9" t="s">
        <v>129</v>
      </c>
      <c r="C12" s="21" t="s">
        <v>140</v>
      </c>
      <c r="D12" s="10" t="s">
        <v>146</v>
      </c>
      <c r="E12" s="10"/>
      <c r="F12" s="24" t="s">
        <v>33</v>
      </c>
      <c r="G12" s="27" t="s">
        <v>0</v>
      </c>
      <c r="H12" s="25">
        <v>0</v>
      </c>
      <c r="I12" s="25" t="s">
        <v>0</v>
      </c>
      <c r="J12" s="3" t="str">
        <f t="shared" si="0"/>
        <v/>
      </c>
    </row>
    <row r="13" spans="1:12" ht="15" customHeight="1" x14ac:dyDescent="0.35">
      <c r="A13" s="8">
        <v>2008</v>
      </c>
      <c r="B13" s="9" t="s">
        <v>130</v>
      </c>
      <c r="C13" s="10" t="s">
        <v>141</v>
      </c>
      <c r="D13" s="10" t="s">
        <v>142</v>
      </c>
      <c r="E13" s="10"/>
      <c r="F13" s="26" t="s">
        <v>34</v>
      </c>
      <c r="G13" s="27" t="s">
        <v>0</v>
      </c>
      <c r="H13" s="25" t="s">
        <v>0</v>
      </c>
      <c r="I13" s="25" t="s">
        <v>0</v>
      </c>
      <c r="J13" s="3" t="str">
        <f t="shared" si="0"/>
        <v/>
      </c>
    </row>
    <row r="14" spans="1:12" ht="15" customHeight="1" x14ac:dyDescent="0.35">
      <c r="A14" s="8">
        <v>2009</v>
      </c>
      <c r="B14" s="9" t="s">
        <v>129</v>
      </c>
      <c r="C14" s="10" t="s">
        <v>141</v>
      </c>
      <c r="D14" s="10" t="s">
        <v>142</v>
      </c>
      <c r="E14" s="10"/>
      <c r="F14" s="24" t="s">
        <v>35</v>
      </c>
      <c r="G14" s="27" t="s">
        <v>0</v>
      </c>
      <c r="H14" s="25">
        <v>0</v>
      </c>
      <c r="I14" s="25" t="s">
        <v>0</v>
      </c>
      <c r="J14" s="3" t="str">
        <f t="shared" si="0"/>
        <v/>
      </c>
    </row>
    <row r="15" spans="1:12" ht="15" customHeight="1" x14ac:dyDescent="0.35">
      <c r="A15" s="8">
        <v>2010</v>
      </c>
      <c r="B15" s="9" t="s">
        <v>129</v>
      </c>
      <c r="C15" s="10" t="s">
        <v>141</v>
      </c>
      <c r="D15" s="10" t="s">
        <v>143</v>
      </c>
      <c r="E15" s="10"/>
      <c r="F15" s="24" t="s">
        <v>36</v>
      </c>
      <c r="G15" s="27" t="s">
        <v>0</v>
      </c>
      <c r="H15" s="25">
        <v>0</v>
      </c>
      <c r="I15" s="25" t="s">
        <v>0</v>
      </c>
      <c r="J15" s="3" t="str">
        <f t="shared" si="0"/>
        <v/>
      </c>
    </row>
    <row r="16" spans="1:12" ht="15" customHeight="1" x14ac:dyDescent="0.35">
      <c r="A16" s="8">
        <v>2011</v>
      </c>
      <c r="B16" s="9" t="s">
        <v>129</v>
      </c>
      <c r="C16" s="10" t="s">
        <v>141</v>
      </c>
      <c r="D16" s="10" t="s">
        <v>143</v>
      </c>
      <c r="E16" s="10"/>
      <c r="F16" s="24" t="s">
        <v>37</v>
      </c>
      <c r="G16" s="27" t="s">
        <v>0</v>
      </c>
      <c r="H16" s="25">
        <v>0</v>
      </c>
      <c r="I16" s="25" t="s">
        <v>0</v>
      </c>
      <c r="J16" s="3" t="str">
        <f t="shared" si="0"/>
        <v/>
      </c>
    </row>
    <row r="17" spans="1:10" ht="15" customHeight="1" x14ac:dyDescent="0.35">
      <c r="A17" s="8">
        <v>2012</v>
      </c>
      <c r="B17" s="9" t="s">
        <v>129</v>
      </c>
      <c r="C17" s="10" t="s">
        <v>141</v>
      </c>
      <c r="D17" s="10" t="s">
        <v>143</v>
      </c>
      <c r="E17" s="10"/>
      <c r="F17" s="24" t="s">
        <v>38</v>
      </c>
      <c r="G17" s="27" t="s">
        <v>0</v>
      </c>
      <c r="H17" s="25">
        <v>0</v>
      </c>
      <c r="I17" s="25" t="s">
        <v>0</v>
      </c>
      <c r="J17" s="3" t="str">
        <f t="shared" si="0"/>
        <v/>
      </c>
    </row>
    <row r="18" spans="1:10" ht="15" customHeight="1" x14ac:dyDescent="0.35">
      <c r="A18" s="8">
        <v>2013</v>
      </c>
      <c r="B18" s="9" t="s">
        <v>129</v>
      </c>
      <c r="C18" s="10" t="s">
        <v>141</v>
      </c>
      <c r="D18" s="10" t="s">
        <v>144</v>
      </c>
      <c r="E18" s="10"/>
      <c r="F18" s="24" t="s">
        <v>39</v>
      </c>
      <c r="G18" s="27" t="s">
        <v>0</v>
      </c>
      <c r="H18" s="25">
        <v>0</v>
      </c>
      <c r="I18" s="25" t="s">
        <v>0</v>
      </c>
      <c r="J18" s="3" t="str">
        <f t="shared" si="0"/>
        <v/>
      </c>
    </row>
    <row r="19" spans="1:10" ht="15" customHeight="1" x14ac:dyDescent="0.35">
      <c r="A19" s="8">
        <v>2014</v>
      </c>
      <c r="B19" s="9" t="s">
        <v>131</v>
      </c>
      <c r="C19" s="10" t="s">
        <v>141</v>
      </c>
      <c r="D19" s="10" t="s">
        <v>144</v>
      </c>
      <c r="E19" s="10"/>
      <c r="F19" s="26" t="s">
        <v>40</v>
      </c>
      <c r="G19" s="27" t="s">
        <v>0</v>
      </c>
      <c r="H19" s="25" t="s">
        <v>0</v>
      </c>
      <c r="I19" s="25" t="s">
        <v>0</v>
      </c>
      <c r="J19" s="3" t="str">
        <f t="shared" si="0"/>
        <v/>
      </c>
    </row>
    <row r="20" spans="1:10" ht="15" customHeight="1" x14ac:dyDescent="0.35">
      <c r="A20" s="8">
        <v>2015</v>
      </c>
      <c r="B20" s="9" t="s">
        <v>131</v>
      </c>
      <c r="C20" s="10" t="s">
        <v>141</v>
      </c>
      <c r="D20" s="10" t="s">
        <v>144</v>
      </c>
      <c r="E20" s="10"/>
      <c r="F20" s="24" t="s">
        <v>41</v>
      </c>
      <c r="G20" s="27" t="s">
        <v>0</v>
      </c>
      <c r="H20" s="25">
        <v>0</v>
      </c>
      <c r="I20" s="25" t="s">
        <v>0</v>
      </c>
      <c r="J20" s="3" t="str">
        <f t="shared" si="0"/>
        <v/>
      </c>
    </row>
    <row r="21" spans="1:10" ht="15" customHeight="1" x14ac:dyDescent="0.35">
      <c r="A21" s="8">
        <v>2016</v>
      </c>
      <c r="B21" s="9" t="s">
        <v>131</v>
      </c>
      <c r="C21" s="10" t="s">
        <v>141</v>
      </c>
      <c r="D21" s="10" t="s">
        <v>144</v>
      </c>
      <c r="E21" s="10"/>
      <c r="F21" s="24" t="s">
        <v>42</v>
      </c>
      <c r="G21" s="27" t="s">
        <v>0</v>
      </c>
      <c r="H21" s="25">
        <v>0</v>
      </c>
      <c r="I21" s="25" t="s">
        <v>0</v>
      </c>
      <c r="J21" s="3" t="str">
        <f t="shared" si="0"/>
        <v/>
      </c>
    </row>
    <row r="22" spans="1:10" ht="15" customHeight="1" x14ac:dyDescent="0.35">
      <c r="A22" s="8">
        <v>2017</v>
      </c>
      <c r="B22" s="9" t="s">
        <v>131</v>
      </c>
      <c r="C22" s="10" t="s">
        <v>141</v>
      </c>
      <c r="D22" s="10" t="s">
        <v>145</v>
      </c>
      <c r="E22" s="10"/>
      <c r="F22" s="24" t="s">
        <v>43</v>
      </c>
      <c r="G22" s="27" t="s">
        <v>0</v>
      </c>
      <c r="H22" s="25">
        <v>0</v>
      </c>
      <c r="I22" s="25" t="s">
        <v>0</v>
      </c>
      <c r="J22" s="3" t="str">
        <f t="shared" si="0"/>
        <v/>
      </c>
    </row>
    <row r="23" spans="1:10" ht="15" customHeight="1" x14ac:dyDescent="0.35">
      <c r="A23" s="8">
        <v>2018</v>
      </c>
      <c r="B23" s="9" t="s">
        <v>131</v>
      </c>
      <c r="C23" s="10" t="s">
        <v>147</v>
      </c>
      <c r="D23" s="10" t="s">
        <v>145</v>
      </c>
      <c r="E23" s="10"/>
      <c r="F23" s="27" t="s">
        <v>0</v>
      </c>
      <c r="G23" s="26" t="s">
        <v>44</v>
      </c>
      <c r="H23" s="25" t="s">
        <v>0</v>
      </c>
      <c r="I23" s="25" t="s">
        <v>0</v>
      </c>
      <c r="J23" s="3" t="str">
        <f t="shared" si="0"/>
        <v/>
      </c>
    </row>
    <row r="24" spans="1:10" ht="15" customHeight="1" x14ac:dyDescent="0.35">
      <c r="A24" s="8">
        <v>2019</v>
      </c>
      <c r="B24" s="9" t="s">
        <v>131</v>
      </c>
      <c r="C24" s="10" t="s">
        <v>147</v>
      </c>
      <c r="D24" s="10" t="s">
        <v>145</v>
      </c>
      <c r="E24" s="10"/>
      <c r="F24" s="27" t="s">
        <v>0</v>
      </c>
      <c r="G24" s="26" t="s">
        <v>45</v>
      </c>
      <c r="H24" s="25" t="s">
        <v>0</v>
      </c>
      <c r="I24" s="25" t="s">
        <v>0</v>
      </c>
      <c r="J24" s="3" t="str">
        <f t="shared" si="0"/>
        <v/>
      </c>
    </row>
    <row r="25" spans="1:10" ht="15" customHeight="1" x14ac:dyDescent="0.35">
      <c r="A25" s="8">
        <v>2020</v>
      </c>
      <c r="B25" s="9" t="s">
        <v>131</v>
      </c>
      <c r="C25" s="10" t="s">
        <v>147</v>
      </c>
      <c r="D25" s="10" t="s">
        <v>145</v>
      </c>
      <c r="E25" s="10"/>
      <c r="F25" s="27" t="s">
        <v>0</v>
      </c>
      <c r="G25" s="26" t="s">
        <v>148</v>
      </c>
      <c r="H25" s="25" t="s">
        <v>0</v>
      </c>
      <c r="I25" s="25" t="s">
        <v>0</v>
      </c>
      <c r="J25" s="3" t="str">
        <f t="shared" si="0"/>
        <v/>
      </c>
    </row>
    <row r="26" spans="1:10" ht="15" customHeight="1" x14ac:dyDescent="0.35">
      <c r="A26" s="8">
        <v>2021</v>
      </c>
      <c r="B26" s="9" t="s">
        <v>131</v>
      </c>
      <c r="C26" s="10" t="s">
        <v>147</v>
      </c>
      <c r="D26" s="10" t="s">
        <v>145</v>
      </c>
      <c r="E26" s="10"/>
      <c r="F26" s="27" t="s">
        <v>0</v>
      </c>
      <c r="G26" s="26" t="s">
        <v>151</v>
      </c>
      <c r="H26" s="25" t="s">
        <v>0</v>
      </c>
      <c r="I26" s="25" t="s">
        <v>0</v>
      </c>
      <c r="J26" s="3" t="str">
        <f t="shared" ref="J26:J28" si="1">IF(OR(AND(H26&gt;1,H26&lt;&gt;"-"),AND(I26&gt;1,I26&lt;&gt;"-")),"Can exchange","")</f>
        <v/>
      </c>
    </row>
    <row r="27" spans="1:10" ht="15" customHeight="1" x14ac:dyDescent="0.35">
      <c r="A27" s="8">
        <v>2022</v>
      </c>
      <c r="B27" s="9" t="s">
        <v>131</v>
      </c>
      <c r="C27" s="10" t="s">
        <v>147</v>
      </c>
      <c r="D27" s="10" t="s">
        <v>145</v>
      </c>
      <c r="E27" s="10"/>
      <c r="F27" s="27" t="s">
        <v>0</v>
      </c>
      <c r="G27" s="26" t="s">
        <v>152</v>
      </c>
      <c r="H27" s="25" t="s">
        <v>0</v>
      </c>
      <c r="I27" s="25" t="s">
        <v>0</v>
      </c>
      <c r="J27" s="3" t="str">
        <f t="shared" si="1"/>
        <v/>
      </c>
    </row>
    <row r="28" spans="1:10" ht="15" customHeight="1" x14ac:dyDescent="0.35">
      <c r="A28" s="8">
        <v>2023</v>
      </c>
      <c r="B28" s="9" t="s">
        <v>131</v>
      </c>
      <c r="C28" s="10" t="s">
        <v>147</v>
      </c>
      <c r="D28" s="10" t="s">
        <v>150</v>
      </c>
      <c r="E28" s="10"/>
      <c r="F28" s="27" t="s">
        <v>0</v>
      </c>
      <c r="G28" s="26" t="s">
        <v>164</v>
      </c>
      <c r="H28" s="25" t="s">
        <v>0</v>
      </c>
      <c r="I28" s="25" t="s">
        <v>0</v>
      </c>
      <c r="J28" s="3" t="str">
        <f t="shared" si="1"/>
        <v/>
      </c>
    </row>
    <row r="29" spans="1:10" ht="15" customHeight="1" x14ac:dyDescent="0.35">
      <c r="A29" s="8">
        <v>2024</v>
      </c>
      <c r="B29" s="9" t="s">
        <v>131</v>
      </c>
      <c r="C29" s="10" t="s">
        <v>147</v>
      </c>
      <c r="D29" s="10" t="s">
        <v>150</v>
      </c>
      <c r="E29" s="10"/>
      <c r="F29" s="27" t="s">
        <v>0</v>
      </c>
      <c r="G29" s="26" t="s">
        <v>165</v>
      </c>
      <c r="H29" s="25" t="s">
        <v>0</v>
      </c>
      <c r="I29" s="25" t="s">
        <v>0</v>
      </c>
      <c r="J29" s="3" t="str">
        <f t="shared" ref="J29:J30" si="2">IF(OR(AND(H29&gt;1,H29&lt;&gt;"-"),AND(I29&gt;1,I29&lt;&gt;"-")),"Can exchange","")</f>
        <v/>
      </c>
    </row>
    <row r="30" spans="1:10" ht="15" customHeight="1" x14ac:dyDescent="0.35">
      <c r="A30" s="8">
        <v>2025</v>
      </c>
      <c r="B30" s="9" t="s">
        <v>131</v>
      </c>
      <c r="C30" s="10" t="s">
        <v>147</v>
      </c>
      <c r="D30" s="10" t="s">
        <v>150</v>
      </c>
      <c r="E30" s="10"/>
      <c r="F30" s="27" t="s">
        <v>0</v>
      </c>
      <c r="G30" s="26"/>
      <c r="H30" s="25" t="s">
        <v>0</v>
      </c>
      <c r="I30" s="25" t="s">
        <v>0</v>
      </c>
      <c r="J30" s="3" t="str">
        <f t="shared" si="2"/>
        <v/>
      </c>
    </row>
  </sheetData>
  <autoFilter ref="B2:G2" xr:uid="{00000000-0001-0000-0000-000000000000}"/>
  <mergeCells count="4">
    <mergeCell ref="A1:A2"/>
    <mergeCell ref="C1:E1"/>
    <mergeCell ref="H1:I1"/>
    <mergeCell ref="F1:G1"/>
  </mergeCells>
  <phoneticPr fontId="8" type="noConversion"/>
  <conditionalFormatting sqref="H23:H24">
    <cfRule type="containsText" dxfId="141" priority="21" operator="containsText" text="*-">
      <formula>NOT(ISERROR(SEARCH(("*-"),(H23))))</formula>
    </cfRule>
  </conditionalFormatting>
  <conditionalFormatting sqref="H23:H24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 H6 H8:H9 H11:H12 H20:H22 H14:H18">
    <cfRule type="containsText" dxfId="140" priority="33" operator="containsText" text="*-">
      <formula>NOT(ISERROR(SEARCH(("*-"),(H3))))</formula>
    </cfRule>
  </conditionalFormatting>
  <conditionalFormatting sqref="H6 H3 H8:H9 H11:H12 H20:H22 H14:H18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">
    <cfRule type="containsText" dxfId="139" priority="31" operator="containsText" text="*-">
      <formula>NOT(ISERROR(SEARCH(("*-"),(H5))))</formula>
    </cfRule>
  </conditionalFormatting>
  <conditionalFormatting sqref="H5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">
    <cfRule type="containsText" dxfId="138" priority="29" operator="containsText" text="*-">
      <formula>NOT(ISERROR(SEARCH(("*-"),(H7))))</formula>
    </cfRule>
  </conditionalFormatting>
  <conditionalFormatting sqref="H7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0">
    <cfRule type="containsText" dxfId="137" priority="27" operator="containsText" text="*-">
      <formula>NOT(ISERROR(SEARCH(("*-"),(H10))))</formula>
    </cfRule>
  </conditionalFormatting>
  <conditionalFormatting sqref="H10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3">
    <cfRule type="containsText" dxfId="136" priority="25" operator="containsText" text="*-">
      <formula>NOT(ISERROR(SEARCH(("*-"),(H13))))</formula>
    </cfRule>
  </conditionalFormatting>
  <conditionalFormatting sqref="H13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9">
    <cfRule type="containsText" dxfId="135" priority="23" operator="containsText" text="*-">
      <formula>NOT(ISERROR(SEARCH(("*-"),(H19))))</formula>
    </cfRule>
  </conditionalFormatting>
  <conditionalFormatting sqref="H19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5:H28">
    <cfRule type="containsText" dxfId="134" priority="17" operator="containsText" text="*-">
      <formula>NOT(ISERROR(SEARCH(("*-"),(H25))))</formula>
    </cfRule>
  </conditionalFormatting>
  <conditionalFormatting sqref="H25:H28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:I28">
    <cfRule type="containsText" dxfId="133" priority="15" operator="containsText" text="*-">
      <formula>NOT(ISERROR(SEARCH(("*-"),(I3))))</formula>
    </cfRule>
  </conditionalFormatting>
  <conditionalFormatting sqref="I3:I28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">
    <cfRule type="containsText" dxfId="132" priority="9" operator="containsText" text="*-">
      <formula>NOT(ISERROR(SEARCH(("*-"),(H4))))</formula>
    </cfRule>
  </conditionalFormatting>
  <conditionalFormatting sqref="H4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9">
    <cfRule type="containsText" dxfId="43" priority="7" operator="containsText" text="*-">
      <formula>NOT(ISERROR(SEARCH(("*-"),(H29))))</formula>
    </cfRule>
  </conditionalFormatting>
  <conditionalFormatting sqref="H29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9">
    <cfRule type="containsText" dxfId="42" priority="5" operator="containsText" text="*-">
      <formula>NOT(ISERROR(SEARCH(("*-"),(I29))))</formula>
    </cfRule>
  </conditionalFormatting>
  <conditionalFormatting sqref="I29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0">
    <cfRule type="containsText" dxfId="41" priority="3" operator="containsText" text="*-">
      <formula>NOT(ISERROR(SEARCH(("*-"),(H30))))</formula>
    </cfRule>
  </conditionalFormatting>
  <conditionalFormatting sqref="H30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0">
    <cfRule type="containsText" dxfId="40" priority="1" operator="containsText" text="*-">
      <formula>NOT(ISERROR(SEARCH(("*-"),(I30))))</formula>
    </cfRule>
  </conditionalFormatting>
  <conditionalFormatting sqref="I30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workbookViewId="0">
      <pane xSplit="9" ySplit="2" topLeftCell="J3" activePane="bottomRight" state="frozen"/>
      <selection pane="topRight" activeCell="H1" sqref="H1"/>
      <selection pane="bottomLeft" activeCell="A3" sqref="A3"/>
      <selection pane="bottomRight" activeCell="I29" sqref="I29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6" width="12.6328125" style="4" customWidth="1"/>
    <col min="7" max="8" width="3.6328125" style="4" customWidth="1"/>
    <col min="9" max="9" width="12.6328125" style="4" customWidth="1"/>
    <col min="10" max="10" width="12.6328125" customWidth="1"/>
  </cols>
  <sheetData>
    <row r="1" spans="1:11" ht="15" customHeight="1" x14ac:dyDescent="0.35">
      <c r="A1" s="30" t="s">
        <v>1</v>
      </c>
      <c r="B1" s="29"/>
      <c r="C1" s="32" t="s">
        <v>2</v>
      </c>
      <c r="D1" s="34"/>
      <c r="E1" s="39" t="s">
        <v>3</v>
      </c>
      <c r="F1" s="40"/>
      <c r="G1" s="35" t="s">
        <v>5</v>
      </c>
      <c r="H1" s="36"/>
      <c r="I1" s="2"/>
    </row>
    <row r="2" spans="1:11" ht="15" customHeight="1" x14ac:dyDescent="0.35">
      <c r="A2" s="31"/>
      <c r="B2" s="29" t="s">
        <v>157</v>
      </c>
      <c r="C2" s="6" t="s">
        <v>159</v>
      </c>
      <c r="D2" s="6" t="s">
        <v>160</v>
      </c>
      <c r="E2" s="7" t="s">
        <v>24</v>
      </c>
      <c r="F2" s="22" t="s">
        <v>149</v>
      </c>
      <c r="G2" s="6" t="s">
        <v>24</v>
      </c>
      <c r="H2" s="23" t="s">
        <v>149</v>
      </c>
      <c r="I2" s="2"/>
    </row>
    <row r="3" spans="1:11" ht="15" customHeight="1" x14ac:dyDescent="0.35">
      <c r="A3" s="8">
        <v>1999</v>
      </c>
      <c r="B3" s="9" t="s">
        <v>129</v>
      </c>
      <c r="C3" s="21" t="s">
        <v>140</v>
      </c>
      <c r="D3" s="10" t="s">
        <v>146</v>
      </c>
      <c r="E3" s="19" t="s">
        <v>46</v>
      </c>
      <c r="F3" s="27" t="s">
        <v>0</v>
      </c>
      <c r="G3" s="1" t="s">
        <v>0</v>
      </c>
      <c r="H3" s="25" t="s">
        <v>0</v>
      </c>
      <c r="I3" s="3" t="str">
        <f>IF(OR(AND(G3&gt;1,G3&lt;&gt;"-"),AND(H3&gt;1,H3&lt;&gt;"-")),"Can exchange","")</f>
        <v/>
      </c>
      <c r="K3" s="5"/>
    </row>
    <row r="4" spans="1:11" ht="15" customHeight="1" x14ac:dyDescent="0.35">
      <c r="A4" s="8">
        <v>2000</v>
      </c>
      <c r="B4" s="9" t="s">
        <v>129</v>
      </c>
      <c r="C4" s="21" t="s">
        <v>140</v>
      </c>
      <c r="D4" s="10" t="s">
        <v>146</v>
      </c>
      <c r="E4" s="11" t="s">
        <v>47</v>
      </c>
      <c r="F4" s="27" t="s">
        <v>0</v>
      </c>
      <c r="G4" s="1">
        <v>0</v>
      </c>
      <c r="H4" s="25" t="s">
        <v>0</v>
      </c>
      <c r="I4" s="3" t="str">
        <f t="shared" ref="I4:I24" si="0">IF(OR(AND(G4&gt;1,G4&lt;&gt;"-"),AND(H4&gt;1,H4&lt;&gt;"-")),"Can exchange","")</f>
        <v/>
      </c>
      <c r="K4" s="5"/>
    </row>
    <row r="5" spans="1:11" ht="15" customHeight="1" x14ac:dyDescent="0.35">
      <c r="A5" s="8">
        <v>2001</v>
      </c>
      <c r="B5" s="9" t="s">
        <v>129</v>
      </c>
      <c r="C5" s="21" t="s">
        <v>140</v>
      </c>
      <c r="D5" s="10" t="s">
        <v>146</v>
      </c>
      <c r="E5" s="19" t="s">
        <v>26</v>
      </c>
      <c r="F5" s="27" t="s">
        <v>0</v>
      </c>
      <c r="G5" s="1" t="s">
        <v>0</v>
      </c>
      <c r="H5" s="25" t="s">
        <v>0</v>
      </c>
      <c r="I5" s="3" t="str">
        <f t="shared" si="0"/>
        <v/>
      </c>
    </row>
    <row r="6" spans="1:11" ht="15" customHeight="1" x14ac:dyDescent="0.35">
      <c r="A6" s="8">
        <v>2002</v>
      </c>
      <c r="B6" s="9" t="s">
        <v>129</v>
      </c>
      <c r="C6" s="21" t="s">
        <v>140</v>
      </c>
      <c r="D6" s="10" t="s">
        <v>146</v>
      </c>
      <c r="E6" s="19" t="s">
        <v>28</v>
      </c>
      <c r="F6" s="27" t="s">
        <v>0</v>
      </c>
      <c r="G6" s="1" t="s">
        <v>0</v>
      </c>
      <c r="H6" s="25" t="s">
        <v>0</v>
      </c>
      <c r="I6" s="3" t="str">
        <f t="shared" si="0"/>
        <v/>
      </c>
    </row>
    <row r="7" spans="1:11" ht="15" customHeight="1" x14ac:dyDescent="0.35">
      <c r="A7" s="8">
        <v>2003</v>
      </c>
      <c r="B7" s="9" t="s">
        <v>129</v>
      </c>
      <c r="C7" s="21" t="s">
        <v>140</v>
      </c>
      <c r="D7" s="10" t="s">
        <v>146</v>
      </c>
      <c r="E7" s="11" t="s">
        <v>48</v>
      </c>
      <c r="F7" s="27" t="s">
        <v>0</v>
      </c>
      <c r="G7" s="1">
        <v>0</v>
      </c>
      <c r="H7" s="25" t="s">
        <v>0</v>
      </c>
      <c r="I7" s="3" t="str">
        <f t="shared" si="0"/>
        <v/>
      </c>
    </row>
    <row r="8" spans="1:11" ht="15" customHeight="1" x14ac:dyDescent="0.35">
      <c r="A8" s="8">
        <v>2004</v>
      </c>
      <c r="B8" s="9" t="s">
        <v>129</v>
      </c>
      <c r="C8" s="21" t="s">
        <v>140</v>
      </c>
      <c r="D8" s="10" t="s">
        <v>146</v>
      </c>
      <c r="E8" s="11" t="s">
        <v>49</v>
      </c>
      <c r="F8" s="27" t="s">
        <v>0</v>
      </c>
      <c r="G8" s="1">
        <v>0</v>
      </c>
      <c r="H8" s="25" t="s">
        <v>0</v>
      </c>
      <c r="I8" s="3" t="str">
        <f t="shared" si="0"/>
        <v/>
      </c>
    </row>
    <row r="9" spans="1:11" ht="15" customHeight="1" x14ac:dyDescent="0.35">
      <c r="A9" s="8">
        <v>2005</v>
      </c>
      <c r="B9" s="9" t="s">
        <v>129</v>
      </c>
      <c r="C9" s="21" t="s">
        <v>140</v>
      </c>
      <c r="D9" s="10" t="s">
        <v>146</v>
      </c>
      <c r="E9" s="19" t="s">
        <v>31</v>
      </c>
      <c r="F9" s="27" t="s">
        <v>0</v>
      </c>
      <c r="G9" s="1" t="s">
        <v>0</v>
      </c>
      <c r="H9" s="25" t="s">
        <v>0</v>
      </c>
      <c r="I9" s="3" t="str">
        <f t="shared" si="0"/>
        <v/>
      </c>
    </row>
    <row r="10" spans="1:11" ht="15" customHeight="1" x14ac:dyDescent="0.35">
      <c r="A10" s="8">
        <v>2006</v>
      </c>
      <c r="B10" s="9" t="s">
        <v>129</v>
      </c>
      <c r="C10" s="21" t="s">
        <v>140</v>
      </c>
      <c r="D10" s="10" t="s">
        <v>146</v>
      </c>
      <c r="E10" s="11" t="s">
        <v>50</v>
      </c>
      <c r="F10" s="27" t="s">
        <v>0</v>
      </c>
      <c r="G10" s="1">
        <v>0</v>
      </c>
      <c r="H10" s="25" t="s">
        <v>0</v>
      </c>
      <c r="I10" s="3" t="str">
        <f t="shared" si="0"/>
        <v/>
      </c>
    </row>
    <row r="11" spans="1:11" ht="15" customHeight="1" x14ac:dyDescent="0.35">
      <c r="A11" s="8">
        <v>2007</v>
      </c>
      <c r="B11" s="9" t="s">
        <v>129</v>
      </c>
      <c r="C11" s="21" t="s">
        <v>140</v>
      </c>
      <c r="D11" s="10" t="s">
        <v>146</v>
      </c>
      <c r="E11" s="11" t="s">
        <v>51</v>
      </c>
      <c r="F11" s="27" t="s">
        <v>0</v>
      </c>
      <c r="G11" s="1">
        <v>0</v>
      </c>
      <c r="H11" s="25" t="s">
        <v>0</v>
      </c>
      <c r="I11" s="3" t="str">
        <f t="shared" si="0"/>
        <v/>
      </c>
    </row>
    <row r="12" spans="1:11" ht="15" customHeight="1" x14ac:dyDescent="0.35">
      <c r="A12" s="8">
        <v>2008</v>
      </c>
      <c r="B12" s="9" t="s">
        <v>130</v>
      </c>
      <c r="C12" s="10" t="s">
        <v>141</v>
      </c>
      <c r="D12" s="10" t="s">
        <v>142</v>
      </c>
      <c r="E12" s="19" t="s">
        <v>34</v>
      </c>
      <c r="F12" s="27" t="s">
        <v>0</v>
      </c>
      <c r="G12" s="1" t="s">
        <v>0</v>
      </c>
      <c r="H12" s="25" t="s">
        <v>0</v>
      </c>
      <c r="I12" s="3" t="str">
        <f t="shared" si="0"/>
        <v/>
      </c>
    </row>
    <row r="13" spans="1:11" ht="15" customHeight="1" x14ac:dyDescent="0.35">
      <c r="A13" s="8">
        <v>2009</v>
      </c>
      <c r="B13" s="9" t="s">
        <v>129</v>
      </c>
      <c r="C13" s="10" t="s">
        <v>141</v>
      </c>
      <c r="D13" s="10" t="s">
        <v>142</v>
      </c>
      <c r="E13" s="11" t="s">
        <v>52</v>
      </c>
      <c r="F13" s="27" t="s">
        <v>0</v>
      </c>
      <c r="G13" s="1">
        <v>0</v>
      </c>
      <c r="H13" s="25" t="s">
        <v>0</v>
      </c>
      <c r="I13" s="3" t="str">
        <f t="shared" si="0"/>
        <v/>
      </c>
    </row>
    <row r="14" spans="1:11" ht="15" customHeight="1" x14ac:dyDescent="0.35">
      <c r="A14" s="8">
        <v>2010</v>
      </c>
      <c r="B14" s="9" t="s">
        <v>129</v>
      </c>
      <c r="C14" s="10" t="s">
        <v>141</v>
      </c>
      <c r="D14" s="10" t="s">
        <v>143</v>
      </c>
      <c r="E14" s="11" t="s">
        <v>53</v>
      </c>
      <c r="F14" s="27" t="s">
        <v>0</v>
      </c>
      <c r="G14" s="1">
        <v>0</v>
      </c>
      <c r="H14" s="25" t="s">
        <v>0</v>
      </c>
      <c r="I14" s="3" t="str">
        <f t="shared" si="0"/>
        <v/>
      </c>
    </row>
    <row r="15" spans="1:11" ht="15" customHeight="1" x14ac:dyDescent="0.35">
      <c r="A15" s="8">
        <v>2011</v>
      </c>
      <c r="B15" s="9" t="s">
        <v>129</v>
      </c>
      <c r="C15" s="10" t="s">
        <v>141</v>
      </c>
      <c r="D15" s="10" t="s">
        <v>143</v>
      </c>
      <c r="E15" s="19" t="s">
        <v>54</v>
      </c>
      <c r="F15" s="27" t="s">
        <v>0</v>
      </c>
      <c r="G15" s="1" t="s">
        <v>0</v>
      </c>
      <c r="H15" s="25" t="s">
        <v>0</v>
      </c>
      <c r="I15" s="3" t="str">
        <f t="shared" si="0"/>
        <v/>
      </c>
    </row>
    <row r="16" spans="1:11" ht="15" customHeight="1" x14ac:dyDescent="0.35">
      <c r="A16" s="8">
        <v>2012</v>
      </c>
      <c r="B16" s="9" t="s">
        <v>129</v>
      </c>
      <c r="C16" s="10" t="s">
        <v>141</v>
      </c>
      <c r="D16" s="10" t="s">
        <v>143</v>
      </c>
      <c r="E16" s="11" t="s">
        <v>55</v>
      </c>
      <c r="F16" s="27" t="s">
        <v>0</v>
      </c>
      <c r="G16" s="1">
        <v>0</v>
      </c>
      <c r="H16" s="25" t="s">
        <v>0</v>
      </c>
      <c r="I16" s="3" t="str">
        <f t="shared" si="0"/>
        <v/>
      </c>
    </row>
    <row r="17" spans="1:9" ht="15" customHeight="1" x14ac:dyDescent="0.35">
      <c r="A17" s="8">
        <v>2013</v>
      </c>
      <c r="B17" s="9" t="s">
        <v>129</v>
      </c>
      <c r="C17" s="10" t="s">
        <v>141</v>
      </c>
      <c r="D17" s="10" t="s">
        <v>144</v>
      </c>
      <c r="E17" s="11" t="s">
        <v>56</v>
      </c>
      <c r="F17" s="27" t="s">
        <v>0</v>
      </c>
      <c r="G17" s="1">
        <v>0</v>
      </c>
      <c r="H17" s="25" t="s">
        <v>0</v>
      </c>
      <c r="I17" s="3" t="str">
        <f t="shared" si="0"/>
        <v/>
      </c>
    </row>
    <row r="18" spans="1:9" ht="15" customHeight="1" x14ac:dyDescent="0.35">
      <c r="A18" s="8">
        <v>2014</v>
      </c>
      <c r="B18" s="9" t="s">
        <v>131</v>
      </c>
      <c r="C18" s="10" t="s">
        <v>141</v>
      </c>
      <c r="D18" s="10" t="s">
        <v>144</v>
      </c>
      <c r="E18" s="11" t="s">
        <v>57</v>
      </c>
      <c r="F18" s="27" t="s">
        <v>0</v>
      </c>
      <c r="G18" s="1">
        <v>0</v>
      </c>
      <c r="H18" s="25" t="s">
        <v>0</v>
      </c>
      <c r="I18" s="3" t="str">
        <f t="shared" si="0"/>
        <v/>
      </c>
    </row>
    <row r="19" spans="1:9" ht="15" customHeight="1" x14ac:dyDescent="0.35">
      <c r="A19" s="8">
        <v>2015</v>
      </c>
      <c r="B19" s="9" t="s">
        <v>131</v>
      </c>
      <c r="C19" s="10" t="s">
        <v>141</v>
      </c>
      <c r="D19" s="10" t="s">
        <v>144</v>
      </c>
      <c r="E19" s="11" t="s">
        <v>58</v>
      </c>
      <c r="F19" s="27" t="s">
        <v>0</v>
      </c>
      <c r="G19" s="1">
        <v>0</v>
      </c>
      <c r="H19" s="25" t="s">
        <v>0</v>
      </c>
      <c r="I19" s="3" t="str">
        <f t="shared" si="0"/>
        <v/>
      </c>
    </row>
    <row r="20" spans="1:9" ht="15" customHeight="1" x14ac:dyDescent="0.35">
      <c r="A20" s="8">
        <v>2016</v>
      </c>
      <c r="B20" s="9" t="s">
        <v>131</v>
      </c>
      <c r="C20" s="10" t="s">
        <v>141</v>
      </c>
      <c r="D20" s="10" t="s">
        <v>144</v>
      </c>
      <c r="E20" s="11" t="s">
        <v>59</v>
      </c>
      <c r="F20" s="27" t="s">
        <v>0</v>
      </c>
      <c r="G20" s="1">
        <v>0</v>
      </c>
      <c r="H20" s="25" t="s">
        <v>0</v>
      </c>
      <c r="I20" s="3" t="str">
        <f t="shared" si="0"/>
        <v/>
      </c>
    </row>
    <row r="21" spans="1:9" ht="15" customHeight="1" x14ac:dyDescent="0.35">
      <c r="A21" s="8">
        <v>2017</v>
      </c>
      <c r="B21" s="9" t="s">
        <v>131</v>
      </c>
      <c r="C21" s="10" t="s">
        <v>141</v>
      </c>
      <c r="D21" s="10" t="s">
        <v>145</v>
      </c>
      <c r="E21" s="19" t="s">
        <v>60</v>
      </c>
      <c r="F21" s="27" t="s">
        <v>0</v>
      </c>
      <c r="G21" s="1" t="s">
        <v>0</v>
      </c>
      <c r="H21" s="25" t="s">
        <v>0</v>
      </c>
      <c r="I21" s="3" t="str">
        <f t="shared" si="0"/>
        <v/>
      </c>
    </row>
    <row r="22" spans="1:9" ht="15" customHeight="1" x14ac:dyDescent="0.35">
      <c r="A22" s="8">
        <v>2018</v>
      </c>
      <c r="B22" s="9" t="s">
        <v>131</v>
      </c>
      <c r="C22" s="10" t="s">
        <v>147</v>
      </c>
      <c r="D22" s="10" t="s">
        <v>145</v>
      </c>
      <c r="E22" s="27" t="s">
        <v>0</v>
      </c>
      <c r="F22" s="19" t="s">
        <v>44</v>
      </c>
      <c r="G22" s="1" t="s">
        <v>0</v>
      </c>
      <c r="H22" s="25" t="s">
        <v>0</v>
      </c>
      <c r="I22" s="3" t="str">
        <f t="shared" si="0"/>
        <v/>
      </c>
    </row>
    <row r="23" spans="1:9" ht="15" customHeight="1" x14ac:dyDescent="0.35">
      <c r="A23" s="8">
        <v>2019</v>
      </c>
      <c r="B23" s="9" t="s">
        <v>131</v>
      </c>
      <c r="C23" s="10" t="s">
        <v>147</v>
      </c>
      <c r="D23" s="10" t="s">
        <v>145</v>
      </c>
      <c r="E23" s="27" t="s">
        <v>0</v>
      </c>
      <c r="F23" s="19" t="s">
        <v>45</v>
      </c>
      <c r="G23" s="1" t="s">
        <v>0</v>
      </c>
      <c r="H23" s="25" t="s">
        <v>0</v>
      </c>
      <c r="I23" s="3" t="str">
        <f t="shared" si="0"/>
        <v/>
      </c>
    </row>
    <row r="24" spans="1:9" ht="15" customHeight="1" x14ac:dyDescent="0.35">
      <c r="A24" s="8">
        <v>2020</v>
      </c>
      <c r="B24" s="9" t="s">
        <v>131</v>
      </c>
      <c r="C24" s="10" t="s">
        <v>147</v>
      </c>
      <c r="D24" s="10" t="s">
        <v>145</v>
      </c>
      <c r="E24" s="27" t="s">
        <v>0</v>
      </c>
      <c r="F24" s="26" t="s">
        <v>148</v>
      </c>
      <c r="G24" s="1" t="s">
        <v>0</v>
      </c>
      <c r="H24" s="25" t="s">
        <v>0</v>
      </c>
      <c r="I24" s="3" t="str">
        <f t="shared" si="0"/>
        <v/>
      </c>
    </row>
    <row r="25" spans="1:9" ht="15" customHeight="1" x14ac:dyDescent="0.35">
      <c r="A25" s="8">
        <v>2021</v>
      </c>
      <c r="B25" s="9" t="s">
        <v>131</v>
      </c>
      <c r="C25" s="10" t="s">
        <v>147</v>
      </c>
      <c r="D25" s="10" t="s">
        <v>145</v>
      </c>
      <c r="E25" s="27" t="s">
        <v>0</v>
      </c>
      <c r="F25" s="26" t="s">
        <v>151</v>
      </c>
      <c r="G25" s="1" t="s">
        <v>0</v>
      </c>
      <c r="H25" s="25" t="s">
        <v>0</v>
      </c>
      <c r="I25" s="3" t="str">
        <f t="shared" ref="I25:I27" si="1">IF(OR(AND(G25&gt;1,G25&lt;&gt;"-"),AND(H25&gt;1,H25&lt;&gt;"-")),"Can exchange","")</f>
        <v/>
      </c>
    </row>
    <row r="26" spans="1:9" ht="15" customHeight="1" x14ac:dyDescent="0.35">
      <c r="A26" s="8">
        <v>2022</v>
      </c>
      <c r="B26" s="9" t="s">
        <v>131</v>
      </c>
      <c r="C26" s="10" t="s">
        <v>147</v>
      </c>
      <c r="D26" s="10" t="s">
        <v>145</v>
      </c>
      <c r="E26" s="27" t="s">
        <v>0</v>
      </c>
      <c r="F26" s="26" t="s">
        <v>152</v>
      </c>
      <c r="G26" s="1" t="s">
        <v>0</v>
      </c>
      <c r="H26" s="25" t="s">
        <v>0</v>
      </c>
      <c r="I26" s="3" t="str">
        <f t="shared" si="1"/>
        <v/>
      </c>
    </row>
    <row r="27" spans="1:9" ht="15" customHeight="1" x14ac:dyDescent="0.35">
      <c r="A27" s="8">
        <v>2023</v>
      </c>
      <c r="B27" s="9" t="s">
        <v>131</v>
      </c>
      <c r="C27" s="10" t="s">
        <v>147</v>
      </c>
      <c r="D27" s="10" t="s">
        <v>150</v>
      </c>
      <c r="E27" s="27" t="s">
        <v>0</v>
      </c>
      <c r="F27" s="26" t="s">
        <v>166</v>
      </c>
      <c r="G27" s="1" t="s">
        <v>0</v>
      </c>
      <c r="H27" s="25" t="s">
        <v>0</v>
      </c>
      <c r="I27" s="3" t="str">
        <f t="shared" si="1"/>
        <v/>
      </c>
    </row>
    <row r="28" spans="1:9" ht="15" customHeight="1" x14ac:dyDescent="0.35">
      <c r="A28" s="8">
        <v>2024</v>
      </c>
      <c r="B28" s="9" t="s">
        <v>131</v>
      </c>
      <c r="C28" s="10" t="s">
        <v>147</v>
      </c>
      <c r="D28" s="10" t="s">
        <v>150</v>
      </c>
      <c r="E28" s="27" t="s">
        <v>0</v>
      </c>
      <c r="F28" s="26" t="s">
        <v>165</v>
      </c>
      <c r="G28" s="1" t="s">
        <v>0</v>
      </c>
      <c r="H28" s="25" t="s">
        <v>0</v>
      </c>
      <c r="I28" s="3" t="str">
        <f t="shared" ref="I28:I29" si="2">IF(OR(AND(G28&gt;1,G28&lt;&gt;"-"),AND(H28&gt;1,H28&lt;&gt;"-")),"Can exchange","")</f>
        <v/>
      </c>
    </row>
    <row r="29" spans="1:9" ht="15" customHeight="1" x14ac:dyDescent="0.35">
      <c r="A29" s="8">
        <v>2025</v>
      </c>
      <c r="B29" s="9" t="s">
        <v>131</v>
      </c>
      <c r="C29" s="10" t="s">
        <v>147</v>
      </c>
      <c r="D29" s="10" t="s">
        <v>150</v>
      </c>
      <c r="E29" s="27" t="s">
        <v>0</v>
      </c>
      <c r="F29" s="26"/>
      <c r="G29" s="1" t="s">
        <v>0</v>
      </c>
      <c r="H29" s="25" t="s">
        <v>0</v>
      </c>
      <c r="I29" s="3" t="str">
        <f t="shared" si="2"/>
        <v/>
      </c>
    </row>
  </sheetData>
  <autoFilter ref="B2:F2" xr:uid="{00000000-0001-0000-0100-000000000000}"/>
  <mergeCells count="4">
    <mergeCell ref="C1:D1"/>
    <mergeCell ref="A1:A2"/>
    <mergeCell ref="G1:H1"/>
    <mergeCell ref="E1:F1"/>
  </mergeCells>
  <phoneticPr fontId="9" type="noConversion"/>
  <conditionalFormatting sqref="G23">
    <cfRule type="containsText" dxfId="131" priority="17" operator="containsText" text="*-">
      <formula>NOT(ISERROR(SEARCH(("*-"),(G23))))</formula>
    </cfRule>
  </conditionalFormatting>
  <conditionalFormatting sqref="G23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 G7:G8 G10:G11 G13:G14 G16:G20">
    <cfRule type="containsText" dxfId="130" priority="35" operator="containsText" text="*-">
      <formula>NOT(ISERROR(SEARCH(("*-"),(G4))))</formula>
    </cfRule>
  </conditionalFormatting>
  <conditionalFormatting sqref="G7:G8 G4 G10:G11 G13:G14 G16:G20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">
    <cfRule type="containsText" dxfId="129" priority="33" operator="containsText" text="*-">
      <formula>NOT(ISERROR(SEARCH(("*-"),(G3))))</formula>
    </cfRule>
  </conditionalFormatting>
  <conditionalFormatting sqref="G3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">
    <cfRule type="containsText" dxfId="128" priority="31" operator="containsText" text="*-">
      <formula>NOT(ISERROR(SEARCH(("*-"),(G5))))</formula>
    </cfRule>
  </conditionalFormatting>
  <conditionalFormatting sqref="G5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">
    <cfRule type="containsText" dxfId="127" priority="29" operator="containsText" text="*-">
      <formula>NOT(ISERROR(SEARCH(("*-"),(G6))))</formula>
    </cfRule>
  </conditionalFormatting>
  <conditionalFormatting sqref="G6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9">
    <cfRule type="containsText" dxfId="126" priority="27" operator="containsText" text="*-">
      <formula>NOT(ISERROR(SEARCH(("*-"),(G9))))</formula>
    </cfRule>
  </conditionalFormatting>
  <conditionalFormatting sqref="G9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2">
    <cfRule type="containsText" dxfId="125" priority="25" operator="containsText" text="*-">
      <formula>NOT(ISERROR(SEARCH(("*-"),(G12))))</formula>
    </cfRule>
  </conditionalFormatting>
  <conditionalFormatting sqref="G12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5">
    <cfRule type="containsText" dxfId="124" priority="23" operator="containsText" text="*-">
      <formula>NOT(ISERROR(SEARCH(("*-"),(G15))))</formula>
    </cfRule>
  </conditionalFormatting>
  <conditionalFormatting sqref="G15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1">
    <cfRule type="containsText" dxfId="123" priority="21" operator="containsText" text="*-">
      <formula>NOT(ISERROR(SEARCH(("*-"),(G21))))</formula>
    </cfRule>
  </conditionalFormatting>
  <conditionalFormatting sqref="G21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2">
    <cfRule type="containsText" dxfId="122" priority="19" operator="containsText" text="*-">
      <formula>NOT(ISERROR(SEARCH(("*-"),(G22))))</formula>
    </cfRule>
  </conditionalFormatting>
  <conditionalFormatting sqref="G22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4:G27">
    <cfRule type="containsText" dxfId="121" priority="15" operator="containsText" text="*-">
      <formula>NOT(ISERROR(SEARCH(("*-"),(G24))))</formula>
    </cfRule>
  </conditionalFormatting>
  <conditionalFormatting sqref="G24:G27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:H27">
    <cfRule type="containsText" dxfId="120" priority="13" operator="containsText" text="*-">
      <formula>NOT(ISERROR(SEARCH(("*-"),(H3))))</formula>
    </cfRule>
  </conditionalFormatting>
  <conditionalFormatting sqref="H3:H27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8">
    <cfRule type="containsText" dxfId="39" priority="7" operator="containsText" text="*-">
      <formula>NOT(ISERROR(SEARCH(("*-"),(G28))))</formula>
    </cfRule>
  </conditionalFormatting>
  <conditionalFormatting sqref="G28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8">
    <cfRule type="containsText" dxfId="38" priority="5" operator="containsText" text="*-">
      <formula>NOT(ISERROR(SEARCH(("*-"),(H28))))</formula>
    </cfRule>
  </conditionalFormatting>
  <conditionalFormatting sqref="H28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9">
    <cfRule type="containsText" dxfId="37" priority="3" operator="containsText" text="*-">
      <formula>NOT(ISERROR(SEARCH(("*-"),(G29))))</formula>
    </cfRule>
  </conditionalFormatting>
  <conditionalFormatting sqref="G29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9">
    <cfRule type="containsText" dxfId="36" priority="1" operator="containsText" text="*-">
      <formula>NOT(ISERROR(SEARCH(("*-"),(H29))))</formula>
    </cfRule>
  </conditionalFormatting>
  <conditionalFormatting sqref="H29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9"/>
  <sheetViews>
    <sheetView workbookViewId="0">
      <pane xSplit="9" ySplit="2" topLeftCell="J3" activePane="bottomRight" state="frozen"/>
      <selection pane="topRight" activeCell="H1" sqref="H1"/>
      <selection pane="bottomLeft" activeCell="A3" sqref="A3"/>
      <selection pane="bottomRight" activeCell="F29" sqref="F29:I29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6" width="12.6328125" style="4" customWidth="1"/>
    <col min="7" max="8" width="3.6328125" style="4" customWidth="1"/>
    <col min="9" max="9" width="12.6328125" style="4" customWidth="1"/>
    <col min="10" max="10" width="12.6328125" customWidth="1"/>
  </cols>
  <sheetData>
    <row r="1" spans="1:11" ht="15" customHeight="1" x14ac:dyDescent="0.35">
      <c r="A1" s="30" t="s">
        <v>1</v>
      </c>
      <c r="B1" s="29"/>
      <c r="C1" s="32" t="s">
        <v>2</v>
      </c>
      <c r="D1" s="34"/>
      <c r="E1" s="39" t="s">
        <v>3</v>
      </c>
      <c r="F1" s="40"/>
      <c r="G1" s="35" t="s">
        <v>6</v>
      </c>
      <c r="H1" s="36"/>
      <c r="I1" s="2"/>
    </row>
    <row r="2" spans="1:11" ht="15" customHeight="1" x14ac:dyDescent="0.35">
      <c r="A2" s="31"/>
      <c r="B2" s="29" t="s">
        <v>157</v>
      </c>
      <c r="C2" s="6" t="s">
        <v>159</v>
      </c>
      <c r="D2" s="6" t="s">
        <v>160</v>
      </c>
      <c r="E2" s="7" t="s">
        <v>24</v>
      </c>
      <c r="F2" s="22" t="s">
        <v>149</v>
      </c>
      <c r="G2" s="6" t="s">
        <v>24</v>
      </c>
      <c r="H2" s="23" t="s">
        <v>149</v>
      </c>
      <c r="I2" s="2"/>
    </row>
    <row r="3" spans="1:11" ht="15" customHeight="1" x14ac:dyDescent="0.35">
      <c r="A3" s="8">
        <v>1999</v>
      </c>
      <c r="B3" s="9" t="s">
        <v>129</v>
      </c>
      <c r="C3" s="21" t="s">
        <v>140</v>
      </c>
      <c r="D3" s="10" t="s">
        <v>146</v>
      </c>
      <c r="E3" s="11" t="s">
        <v>61</v>
      </c>
      <c r="F3" s="27" t="s">
        <v>0</v>
      </c>
      <c r="G3" s="1">
        <v>1</v>
      </c>
      <c r="H3" s="1" t="s">
        <v>0</v>
      </c>
      <c r="I3" s="3" t="str">
        <f>IF(OR(AND(G3&gt;1,G3&lt;&gt;"-"),AND(H3&gt;1,H3&lt;&gt;"-")),"Can exchange","")</f>
        <v/>
      </c>
      <c r="K3" s="5"/>
    </row>
    <row r="4" spans="1:11" ht="15" customHeight="1" x14ac:dyDescent="0.35">
      <c r="A4" s="8">
        <v>2000</v>
      </c>
      <c r="B4" s="9" t="s">
        <v>129</v>
      </c>
      <c r="C4" s="21" t="s">
        <v>140</v>
      </c>
      <c r="D4" s="10" t="s">
        <v>146</v>
      </c>
      <c r="E4" s="19" t="s">
        <v>26</v>
      </c>
      <c r="F4" s="27" t="s">
        <v>0</v>
      </c>
      <c r="G4" s="1" t="s">
        <v>0</v>
      </c>
      <c r="H4" s="1" t="s">
        <v>0</v>
      </c>
      <c r="I4" s="3" t="str">
        <f t="shared" ref="I4:I24" si="0">IF(OR(AND(G4&gt;1,G4&lt;&gt;"-"),AND(H4&gt;1,H4&lt;&gt;"-")),"Can exchange","")</f>
        <v/>
      </c>
      <c r="K4" s="5"/>
    </row>
    <row r="5" spans="1:11" ht="15" customHeight="1" x14ac:dyDescent="0.35">
      <c r="A5" s="8">
        <v>2001</v>
      </c>
      <c r="B5" s="9" t="s">
        <v>129</v>
      </c>
      <c r="C5" s="21" t="s">
        <v>140</v>
      </c>
      <c r="D5" s="10" t="s">
        <v>146</v>
      </c>
      <c r="E5" s="19" t="s">
        <v>26</v>
      </c>
      <c r="F5" s="27" t="s">
        <v>0</v>
      </c>
      <c r="G5" s="1" t="s">
        <v>0</v>
      </c>
      <c r="H5" s="1" t="s">
        <v>0</v>
      </c>
      <c r="I5" s="3" t="str">
        <f t="shared" si="0"/>
        <v/>
      </c>
    </row>
    <row r="6" spans="1:11" ht="15" customHeight="1" x14ac:dyDescent="0.35">
      <c r="A6" s="8">
        <v>2002</v>
      </c>
      <c r="B6" s="9" t="s">
        <v>129</v>
      </c>
      <c r="C6" s="21" t="s">
        <v>140</v>
      </c>
      <c r="D6" s="10" t="s">
        <v>146</v>
      </c>
      <c r="E6" s="19" t="s">
        <v>28</v>
      </c>
      <c r="F6" s="27" t="s">
        <v>0</v>
      </c>
      <c r="G6" s="1" t="s">
        <v>0</v>
      </c>
      <c r="H6" s="1" t="s">
        <v>0</v>
      </c>
      <c r="I6" s="3" t="str">
        <f t="shared" si="0"/>
        <v/>
      </c>
    </row>
    <row r="7" spans="1:11" ht="15" customHeight="1" x14ac:dyDescent="0.35">
      <c r="A7" s="8">
        <v>2003</v>
      </c>
      <c r="B7" s="9" t="s">
        <v>129</v>
      </c>
      <c r="C7" s="21" t="s">
        <v>140</v>
      </c>
      <c r="D7" s="10" t="s">
        <v>146</v>
      </c>
      <c r="E7" s="11" t="s">
        <v>62</v>
      </c>
      <c r="F7" s="27" t="s">
        <v>0</v>
      </c>
      <c r="G7" s="1">
        <v>0</v>
      </c>
      <c r="H7" s="1" t="s">
        <v>0</v>
      </c>
      <c r="I7" s="3" t="str">
        <f t="shared" si="0"/>
        <v/>
      </c>
    </row>
    <row r="8" spans="1:11" ht="15" customHeight="1" x14ac:dyDescent="0.35">
      <c r="A8" s="8">
        <v>2004</v>
      </c>
      <c r="B8" s="9" t="s">
        <v>129</v>
      </c>
      <c r="C8" s="21" t="s">
        <v>140</v>
      </c>
      <c r="D8" s="10" t="s">
        <v>146</v>
      </c>
      <c r="E8" s="11" t="s">
        <v>63</v>
      </c>
      <c r="F8" s="27" t="s">
        <v>0</v>
      </c>
      <c r="G8" s="1">
        <v>0</v>
      </c>
      <c r="H8" s="1" t="s">
        <v>0</v>
      </c>
      <c r="I8" s="3" t="str">
        <f t="shared" si="0"/>
        <v/>
      </c>
    </row>
    <row r="9" spans="1:11" ht="15" customHeight="1" x14ac:dyDescent="0.35">
      <c r="A9" s="8">
        <v>2005</v>
      </c>
      <c r="B9" s="9" t="s">
        <v>129</v>
      </c>
      <c r="C9" s="21" t="s">
        <v>140</v>
      </c>
      <c r="D9" s="10" t="s">
        <v>146</v>
      </c>
      <c r="E9" s="11" t="s">
        <v>64</v>
      </c>
      <c r="F9" s="27" t="s">
        <v>0</v>
      </c>
      <c r="G9" s="1">
        <v>0</v>
      </c>
      <c r="H9" s="1" t="s">
        <v>0</v>
      </c>
      <c r="I9" s="3" t="str">
        <f t="shared" si="0"/>
        <v/>
      </c>
    </row>
    <row r="10" spans="1:11" ht="15" customHeight="1" x14ac:dyDescent="0.35">
      <c r="A10" s="8">
        <v>2006</v>
      </c>
      <c r="B10" s="9" t="s">
        <v>129</v>
      </c>
      <c r="C10" s="21" t="s">
        <v>140</v>
      </c>
      <c r="D10" s="10" t="s">
        <v>146</v>
      </c>
      <c r="E10" s="11" t="s">
        <v>65</v>
      </c>
      <c r="F10" s="27" t="s">
        <v>0</v>
      </c>
      <c r="G10" s="1">
        <v>0</v>
      </c>
      <c r="H10" s="1" t="s">
        <v>0</v>
      </c>
      <c r="I10" s="3" t="str">
        <f t="shared" si="0"/>
        <v/>
      </c>
    </row>
    <row r="11" spans="1:11" ht="15" customHeight="1" x14ac:dyDescent="0.35">
      <c r="A11" s="8">
        <v>2007</v>
      </c>
      <c r="B11" s="9" t="s">
        <v>129</v>
      </c>
      <c r="C11" s="21" t="s">
        <v>140</v>
      </c>
      <c r="D11" s="10" t="s">
        <v>146</v>
      </c>
      <c r="E11" s="19" t="s">
        <v>66</v>
      </c>
      <c r="F11" s="27" t="s">
        <v>0</v>
      </c>
      <c r="G11" s="1" t="s">
        <v>0</v>
      </c>
      <c r="H11" s="1" t="s">
        <v>0</v>
      </c>
      <c r="I11" s="3" t="str">
        <f t="shared" si="0"/>
        <v/>
      </c>
    </row>
    <row r="12" spans="1:11" ht="15" customHeight="1" x14ac:dyDescent="0.35">
      <c r="A12" s="8">
        <v>2008</v>
      </c>
      <c r="B12" s="9" t="s">
        <v>130</v>
      </c>
      <c r="C12" s="10" t="s">
        <v>141</v>
      </c>
      <c r="D12" s="10" t="s">
        <v>142</v>
      </c>
      <c r="E12" s="19" t="s">
        <v>34</v>
      </c>
      <c r="F12" s="27" t="s">
        <v>0</v>
      </c>
      <c r="G12" s="1" t="s">
        <v>0</v>
      </c>
      <c r="H12" s="1" t="s">
        <v>0</v>
      </c>
      <c r="I12" s="3" t="str">
        <f t="shared" si="0"/>
        <v/>
      </c>
    </row>
    <row r="13" spans="1:11" ht="15" customHeight="1" x14ac:dyDescent="0.35">
      <c r="A13" s="8">
        <v>2009</v>
      </c>
      <c r="B13" s="9" t="s">
        <v>129</v>
      </c>
      <c r="C13" s="10" t="s">
        <v>141</v>
      </c>
      <c r="D13" s="10" t="s">
        <v>142</v>
      </c>
      <c r="E13" s="19" t="s">
        <v>67</v>
      </c>
      <c r="F13" s="27" t="s">
        <v>0</v>
      </c>
      <c r="G13" s="1" t="s">
        <v>0</v>
      </c>
      <c r="H13" s="1" t="s">
        <v>0</v>
      </c>
      <c r="I13" s="3" t="str">
        <f t="shared" si="0"/>
        <v/>
      </c>
    </row>
    <row r="14" spans="1:11" ht="15" customHeight="1" x14ac:dyDescent="0.35">
      <c r="A14" s="8">
        <v>2010</v>
      </c>
      <c r="B14" s="9" t="s">
        <v>129</v>
      </c>
      <c r="C14" s="10" t="s">
        <v>141</v>
      </c>
      <c r="D14" s="10" t="s">
        <v>143</v>
      </c>
      <c r="E14" s="11" t="s">
        <v>68</v>
      </c>
      <c r="F14" s="27" t="s">
        <v>0</v>
      </c>
      <c r="G14" s="1">
        <v>0</v>
      </c>
      <c r="H14" s="1" t="s">
        <v>0</v>
      </c>
      <c r="I14" s="3" t="str">
        <f t="shared" si="0"/>
        <v/>
      </c>
    </row>
    <row r="15" spans="1:11" ht="15" customHeight="1" x14ac:dyDescent="0.35">
      <c r="A15" s="8">
        <v>2011</v>
      </c>
      <c r="B15" s="9" t="s">
        <v>129</v>
      </c>
      <c r="C15" s="10" t="s">
        <v>141</v>
      </c>
      <c r="D15" s="10" t="s">
        <v>143</v>
      </c>
      <c r="E15" s="11" t="s">
        <v>68</v>
      </c>
      <c r="F15" s="27" t="s">
        <v>0</v>
      </c>
      <c r="G15" s="1">
        <v>0</v>
      </c>
      <c r="H15" s="1" t="s">
        <v>0</v>
      </c>
      <c r="I15" s="3" t="str">
        <f t="shared" si="0"/>
        <v/>
      </c>
    </row>
    <row r="16" spans="1:11" ht="15" customHeight="1" x14ac:dyDescent="0.35">
      <c r="A16" s="8">
        <v>2012</v>
      </c>
      <c r="B16" s="9" t="s">
        <v>129</v>
      </c>
      <c r="C16" s="10" t="s">
        <v>141</v>
      </c>
      <c r="D16" s="10" t="s">
        <v>143</v>
      </c>
      <c r="E16" s="11" t="s">
        <v>69</v>
      </c>
      <c r="F16" s="27" t="s">
        <v>0</v>
      </c>
      <c r="G16" s="1">
        <v>0</v>
      </c>
      <c r="H16" s="1" t="s">
        <v>0</v>
      </c>
      <c r="I16" s="3" t="str">
        <f t="shared" si="0"/>
        <v/>
      </c>
    </row>
    <row r="17" spans="1:9" ht="15" customHeight="1" x14ac:dyDescent="0.35">
      <c r="A17" s="8">
        <v>2013</v>
      </c>
      <c r="B17" s="9" t="s">
        <v>129</v>
      </c>
      <c r="C17" s="10" t="s">
        <v>141</v>
      </c>
      <c r="D17" s="10" t="s">
        <v>144</v>
      </c>
      <c r="E17" s="11" t="s">
        <v>70</v>
      </c>
      <c r="F17" s="27" t="s">
        <v>0</v>
      </c>
      <c r="G17" s="1">
        <v>0</v>
      </c>
      <c r="H17" s="1" t="s">
        <v>0</v>
      </c>
      <c r="I17" s="3" t="str">
        <f t="shared" si="0"/>
        <v/>
      </c>
    </row>
    <row r="18" spans="1:9" ht="15" customHeight="1" x14ac:dyDescent="0.35">
      <c r="A18" s="8">
        <v>2014</v>
      </c>
      <c r="B18" s="9" t="s">
        <v>131</v>
      </c>
      <c r="C18" s="10" t="s">
        <v>141</v>
      </c>
      <c r="D18" s="10" t="s">
        <v>144</v>
      </c>
      <c r="E18" s="11" t="s">
        <v>71</v>
      </c>
      <c r="F18" s="27" t="s">
        <v>0</v>
      </c>
      <c r="G18" s="1">
        <v>0</v>
      </c>
      <c r="H18" s="1" t="s">
        <v>0</v>
      </c>
      <c r="I18" s="3" t="str">
        <f t="shared" si="0"/>
        <v/>
      </c>
    </row>
    <row r="19" spans="1:9" ht="15" customHeight="1" x14ac:dyDescent="0.35">
      <c r="A19" s="8">
        <v>2015</v>
      </c>
      <c r="B19" s="9" t="s">
        <v>131</v>
      </c>
      <c r="C19" s="10" t="s">
        <v>141</v>
      </c>
      <c r="D19" s="10" t="s">
        <v>144</v>
      </c>
      <c r="E19" s="11" t="s">
        <v>72</v>
      </c>
      <c r="F19" s="27" t="s">
        <v>0</v>
      </c>
      <c r="G19" s="1">
        <v>0</v>
      </c>
      <c r="H19" s="1" t="s">
        <v>0</v>
      </c>
      <c r="I19" s="3" t="str">
        <f t="shared" si="0"/>
        <v/>
      </c>
    </row>
    <row r="20" spans="1:9" ht="15" customHeight="1" x14ac:dyDescent="0.35">
      <c r="A20" s="8">
        <v>2016</v>
      </c>
      <c r="B20" s="9" t="s">
        <v>131</v>
      </c>
      <c r="C20" s="10" t="s">
        <v>141</v>
      </c>
      <c r="D20" s="10" t="s">
        <v>144</v>
      </c>
      <c r="E20" s="11" t="s">
        <v>73</v>
      </c>
      <c r="F20" s="27" t="s">
        <v>0</v>
      </c>
      <c r="G20" s="1">
        <v>0</v>
      </c>
      <c r="H20" s="1" t="s">
        <v>0</v>
      </c>
      <c r="I20" s="3" t="str">
        <f t="shared" si="0"/>
        <v/>
      </c>
    </row>
    <row r="21" spans="1:9" ht="15" customHeight="1" x14ac:dyDescent="0.35">
      <c r="A21" s="8">
        <v>2017</v>
      </c>
      <c r="B21" s="9" t="s">
        <v>131</v>
      </c>
      <c r="C21" s="10" t="s">
        <v>141</v>
      </c>
      <c r="D21" s="10" t="s">
        <v>145</v>
      </c>
      <c r="E21" s="11" t="s">
        <v>74</v>
      </c>
      <c r="F21" s="27" t="s">
        <v>0</v>
      </c>
      <c r="G21" s="1">
        <v>0</v>
      </c>
      <c r="H21" s="1" t="s">
        <v>0</v>
      </c>
      <c r="I21" s="3" t="str">
        <f t="shared" si="0"/>
        <v/>
      </c>
    </row>
    <row r="22" spans="1:9" ht="15" customHeight="1" x14ac:dyDescent="0.35">
      <c r="A22" s="8">
        <v>2018</v>
      </c>
      <c r="B22" s="9" t="s">
        <v>131</v>
      </c>
      <c r="C22" s="10" t="s">
        <v>147</v>
      </c>
      <c r="D22" s="10" t="s">
        <v>145</v>
      </c>
      <c r="E22" s="27" t="s">
        <v>0</v>
      </c>
      <c r="F22" s="11" t="s">
        <v>75</v>
      </c>
      <c r="G22" s="1" t="s">
        <v>0</v>
      </c>
      <c r="H22" s="1">
        <v>0</v>
      </c>
      <c r="I22" s="3" t="str">
        <f t="shared" si="0"/>
        <v/>
      </c>
    </row>
    <row r="23" spans="1:9" ht="15" customHeight="1" x14ac:dyDescent="0.35">
      <c r="A23" s="8">
        <v>2019</v>
      </c>
      <c r="B23" s="9" t="s">
        <v>131</v>
      </c>
      <c r="C23" s="10" t="s">
        <v>147</v>
      </c>
      <c r="D23" s="10" t="s">
        <v>145</v>
      </c>
      <c r="E23" s="27" t="s">
        <v>0</v>
      </c>
      <c r="F23" s="11" t="s">
        <v>76</v>
      </c>
      <c r="G23" s="1" t="s">
        <v>0</v>
      </c>
      <c r="H23" s="1">
        <v>0</v>
      </c>
      <c r="I23" s="3" t="str">
        <f t="shared" si="0"/>
        <v/>
      </c>
    </row>
    <row r="24" spans="1:9" ht="15" customHeight="1" x14ac:dyDescent="0.35">
      <c r="A24" s="8">
        <v>2020</v>
      </c>
      <c r="B24" s="9" t="s">
        <v>131</v>
      </c>
      <c r="C24" s="10" t="s">
        <v>147</v>
      </c>
      <c r="D24" s="10" t="s">
        <v>145</v>
      </c>
      <c r="E24" s="27" t="s">
        <v>0</v>
      </c>
      <c r="F24" s="26" t="s">
        <v>148</v>
      </c>
      <c r="G24" s="1" t="s">
        <v>0</v>
      </c>
      <c r="H24" s="1" t="s">
        <v>0</v>
      </c>
      <c r="I24" s="3" t="str">
        <f t="shared" si="0"/>
        <v/>
      </c>
    </row>
    <row r="25" spans="1:9" ht="15" customHeight="1" x14ac:dyDescent="0.35">
      <c r="A25" s="8">
        <v>2021</v>
      </c>
      <c r="B25" s="9" t="s">
        <v>131</v>
      </c>
      <c r="C25" s="10" t="s">
        <v>147</v>
      </c>
      <c r="D25" s="10" t="s">
        <v>145</v>
      </c>
      <c r="E25" s="27" t="s">
        <v>0</v>
      </c>
      <c r="F25" s="26" t="s">
        <v>151</v>
      </c>
      <c r="G25" s="1" t="s">
        <v>0</v>
      </c>
      <c r="H25" s="1" t="s">
        <v>0</v>
      </c>
      <c r="I25" s="3" t="str">
        <f t="shared" ref="I25:I27" si="1">IF(OR(AND(G25&gt;1,G25&lt;&gt;"-"),AND(H25&gt;1,H25&lt;&gt;"-")),"Can exchange","")</f>
        <v/>
      </c>
    </row>
    <row r="26" spans="1:9" ht="15" customHeight="1" x14ac:dyDescent="0.35">
      <c r="A26" s="8">
        <v>2022</v>
      </c>
      <c r="B26" s="9" t="s">
        <v>131</v>
      </c>
      <c r="C26" s="10" t="s">
        <v>147</v>
      </c>
      <c r="D26" s="10" t="s">
        <v>145</v>
      </c>
      <c r="E26" s="27" t="s">
        <v>0</v>
      </c>
      <c r="F26" s="11" t="s">
        <v>153</v>
      </c>
      <c r="G26" s="1" t="s">
        <v>0</v>
      </c>
      <c r="H26" s="1">
        <v>0</v>
      </c>
      <c r="I26" s="3" t="str">
        <f t="shared" si="1"/>
        <v/>
      </c>
    </row>
    <row r="27" spans="1:9" ht="15" customHeight="1" x14ac:dyDescent="0.35">
      <c r="A27" s="8">
        <v>2023</v>
      </c>
      <c r="B27" s="9" t="s">
        <v>131</v>
      </c>
      <c r="C27" s="10" t="s">
        <v>147</v>
      </c>
      <c r="D27" s="10" t="s">
        <v>150</v>
      </c>
      <c r="E27" s="27" t="s">
        <v>0</v>
      </c>
      <c r="F27" s="11" t="s">
        <v>155</v>
      </c>
      <c r="G27" s="1" t="s">
        <v>0</v>
      </c>
      <c r="H27" s="1">
        <v>0</v>
      </c>
      <c r="I27" s="3" t="str">
        <f t="shared" si="1"/>
        <v/>
      </c>
    </row>
    <row r="28" spans="1:9" ht="15" customHeight="1" x14ac:dyDescent="0.35">
      <c r="A28" s="8">
        <v>2024</v>
      </c>
      <c r="B28" s="9" t="s">
        <v>131</v>
      </c>
      <c r="C28" s="10" t="s">
        <v>147</v>
      </c>
      <c r="D28" s="10" t="s">
        <v>150</v>
      </c>
      <c r="E28" s="27" t="s">
        <v>0</v>
      </c>
      <c r="F28" s="11" t="s">
        <v>167</v>
      </c>
      <c r="G28" s="1" t="s">
        <v>0</v>
      </c>
      <c r="H28" s="1">
        <v>0</v>
      </c>
      <c r="I28" s="3" t="str">
        <f t="shared" ref="I28:I29" si="2">IF(OR(AND(G28&gt;1,G28&lt;&gt;"-"),AND(H28&gt;1,H28&lt;&gt;"-")),"Can exchange","")</f>
        <v/>
      </c>
    </row>
    <row r="29" spans="1:9" ht="15" customHeight="1" x14ac:dyDescent="0.35">
      <c r="A29" s="8">
        <v>2025</v>
      </c>
      <c r="B29" s="9" t="s">
        <v>131</v>
      </c>
      <c r="C29" s="10" t="s">
        <v>147</v>
      </c>
      <c r="D29" s="10" t="s">
        <v>150</v>
      </c>
      <c r="E29" s="27" t="s">
        <v>0</v>
      </c>
      <c r="F29" s="26"/>
      <c r="G29" s="1" t="s">
        <v>0</v>
      </c>
      <c r="H29" s="1" t="s">
        <v>0</v>
      </c>
      <c r="I29" s="3" t="str">
        <f t="shared" si="2"/>
        <v/>
      </c>
    </row>
  </sheetData>
  <autoFilter ref="B2:F2" xr:uid="{00000000-0001-0000-0200-000000000000}"/>
  <mergeCells count="4">
    <mergeCell ref="C1:D1"/>
    <mergeCell ref="A1:A2"/>
    <mergeCell ref="E1:F1"/>
    <mergeCell ref="G1:H1"/>
  </mergeCells>
  <phoneticPr fontId="9" type="noConversion"/>
  <conditionalFormatting sqref="G11">
    <cfRule type="containsText" dxfId="119" priority="29" operator="containsText" text="*-">
      <formula>NOT(ISERROR(SEARCH(("*-"),(G11))))</formula>
    </cfRule>
  </conditionalFormatting>
  <conditionalFormatting sqref="G11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 G7:G10 G14:G21 H22:H23">
    <cfRule type="containsText" dxfId="118" priority="41" operator="containsText" text="*-">
      <formula>NOT(ISERROR(SEARCH(("*-"),(G3))))</formula>
    </cfRule>
  </conditionalFormatting>
  <conditionalFormatting sqref="G7:G10 G3 G14:G21 H22:H23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">
    <cfRule type="containsText" dxfId="117" priority="39" operator="containsText" text="*-">
      <formula>NOT(ISERROR(SEARCH(("*-"),(G4))))</formula>
    </cfRule>
  </conditionalFormatting>
  <conditionalFormatting sqref="G4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">
    <cfRule type="containsText" dxfId="116" priority="37" operator="containsText" text="*-">
      <formula>NOT(ISERROR(SEARCH(("*-"),(G5))))</formula>
    </cfRule>
  </conditionalFormatting>
  <conditionalFormatting sqref="G5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">
    <cfRule type="containsText" dxfId="115" priority="35" operator="containsText" text="*-">
      <formula>NOT(ISERROR(SEARCH(("*-"),(G6))))</formula>
    </cfRule>
  </conditionalFormatting>
  <conditionalFormatting sqref="G6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3">
    <cfRule type="containsText" dxfId="114" priority="33" operator="containsText" text="*-">
      <formula>NOT(ISERROR(SEARCH(("*-"),(G13))))</formula>
    </cfRule>
  </conditionalFormatting>
  <conditionalFormatting sqref="G13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2">
    <cfRule type="containsText" dxfId="113" priority="31" operator="containsText" text="*-">
      <formula>NOT(ISERROR(SEARCH(("*-"),(G12))))</formula>
    </cfRule>
  </conditionalFormatting>
  <conditionalFormatting sqref="G12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4:G27">
    <cfRule type="containsText" dxfId="112" priority="25" operator="containsText" text="*-">
      <formula>NOT(ISERROR(SEARCH(("*-"),(G24))))</formula>
    </cfRule>
  </conditionalFormatting>
  <conditionalFormatting sqref="G24:G27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:H21">
    <cfRule type="containsText" dxfId="111" priority="23" operator="containsText" text="*-">
      <formula>NOT(ISERROR(SEARCH(("*-"),(H3))))</formula>
    </cfRule>
  </conditionalFormatting>
  <conditionalFormatting sqref="H3:H21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2">
    <cfRule type="containsText" dxfId="110" priority="21" operator="containsText" text="*-">
      <formula>NOT(ISERROR(SEARCH(("*-"),(G22))))</formula>
    </cfRule>
  </conditionalFormatting>
  <conditionalFormatting sqref="G22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3">
    <cfRule type="containsText" dxfId="109" priority="19" operator="containsText" text="*-">
      <formula>NOT(ISERROR(SEARCH(("*-"),(G23))))</formula>
    </cfRule>
  </conditionalFormatting>
  <conditionalFormatting sqref="G23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4:H25">
    <cfRule type="containsText" dxfId="108" priority="17" operator="containsText" text="*-">
      <formula>NOT(ISERROR(SEARCH(("*-"),(H24))))</formula>
    </cfRule>
  </conditionalFormatting>
  <conditionalFormatting sqref="H24:H25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6">
    <cfRule type="containsText" dxfId="107" priority="15" operator="containsText" text="*-">
      <formula>NOT(ISERROR(SEARCH(("*-"),(H26))))</formula>
    </cfRule>
  </conditionalFormatting>
  <conditionalFormatting sqref="H26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7">
    <cfRule type="containsText" dxfId="106" priority="13" operator="containsText" text="*-">
      <formula>NOT(ISERROR(SEARCH(("*-"),(H27))))</formula>
    </cfRule>
  </conditionalFormatting>
  <conditionalFormatting sqref="H27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8">
    <cfRule type="containsText" dxfId="35" priority="11" operator="containsText" text="*-">
      <formula>NOT(ISERROR(SEARCH(("*-"),(G28))))</formula>
    </cfRule>
  </conditionalFormatting>
  <conditionalFormatting sqref="G28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8">
    <cfRule type="containsText" dxfId="34" priority="9" operator="containsText" text="*-">
      <formula>NOT(ISERROR(SEARCH(("*-"),(H28))))</formula>
    </cfRule>
  </conditionalFormatting>
  <conditionalFormatting sqref="H28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9">
    <cfRule type="containsText" dxfId="25" priority="3" operator="containsText" text="*-">
      <formula>NOT(ISERROR(SEARCH(("*-"),(G29))))</formula>
    </cfRule>
  </conditionalFormatting>
  <conditionalFormatting sqref="G29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9">
    <cfRule type="containsText" dxfId="24" priority="1" operator="containsText" text="*-">
      <formula>NOT(ISERROR(SEARCH(("*-"),(H29))))</formula>
    </cfRule>
  </conditionalFormatting>
  <conditionalFormatting sqref="H29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9"/>
  <sheetViews>
    <sheetView workbookViewId="0">
      <pane xSplit="10" ySplit="2" topLeftCell="K3" activePane="bottomRight" state="frozen"/>
      <selection pane="topRight" activeCell="H1" sqref="H1"/>
      <selection pane="bottomLeft" activeCell="A3" sqref="A3"/>
      <selection pane="bottomRight" activeCell="G29" sqref="G29:J29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5" width="33.6328125" style="4" customWidth="1"/>
    <col min="6" max="7" width="12.6328125" style="4" customWidth="1"/>
    <col min="8" max="9" width="3.6328125" style="4" customWidth="1"/>
    <col min="10" max="10" width="12.6328125" style="4" customWidth="1"/>
  </cols>
  <sheetData>
    <row r="1" spans="1:12" ht="15" customHeight="1" x14ac:dyDescent="0.35">
      <c r="A1" s="30" t="s">
        <v>1</v>
      </c>
      <c r="B1" s="29"/>
      <c r="C1" s="32" t="s">
        <v>2</v>
      </c>
      <c r="D1" s="33"/>
      <c r="E1" s="34"/>
      <c r="F1" s="39" t="s">
        <v>3</v>
      </c>
      <c r="G1" s="40"/>
      <c r="H1" s="35" t="s">
        <v>7</v>
      </c>
      <c r="I1" s="36"/>
      <c r="J1" s="2"/>
    </row>
    <row r="2" spans="1:12" ht="15" customHeight="1" x14ac:dyDescent="0.35">
      <c r="A2" s="31"/>
      <c r="B2" s="29" t="s">
        <v>157</v>
      </c>
      <c r="C2" s="6" t="s">
        <v>159</v>
      </c>
      <c r="D2" s="6" t="s">
        <v>161</v>
      </c>
      <c r="E2" s="6" t="s">
        <v>162</v>
      </c>
      <c r="F2" s="7" t="s">
        <v>24</v>
      </c>
      <c r="G2" s="22" t="s">
        <v>149</v>
      </c>
      <c r="H2" s="6" t="s">
        <v>24</v>
      </c>
      <c r="I2" s="23" t="s">
        <v>149</v>
      </c>
      <c r="J2" s="2"/>
    </row>
    <row r="3" spans="1:12" ht="15" customHeight="1" x14ac:dyDescent="0.35">
      <c r="A3" s="8">
        <v>1999</v>
      </c>
      <c r="B3" s="9" t="s">
        <v>129</v>
      </c>
      <c r="C3" s="21" t="s">
        <v>140</v>
      </c>
      <c r="D3" s="10" t="s">
        <v>8</v>
      </c>
      <c r="E3" s="10" t="s">
        <v>146</v>
      </c>
      <c r="F3" s="11" t="s">
        <v>77</v>
      </c>
      <c r="G3" s="27" t="s">
        <v>0</v>
      </c>
      <c r="H3" s="1">
        <v>0</v>
      </c>
      <c r="I3" s="1" t="s">
        <v>0</v>
      </c>
      <c r="J3" s="3" t="str">
        <f>IF(OR(AND(H3&gt;1,H3&lt;&gt;"-"),AND(I3&gt;1,I3&lt;&gt;"-")),"Can exchange","")</f>
        <v/>
      </c>
      <c r="L3" s="5"/>
    </row>
    <row r="4" spans="1:12" ht="15" customHeight="1" x14ac:dyDescent="0.35">
      <c r="A4" s="8">
        <v>2000</v>
      </c>
      <c r="B4" s="9" t="s">
        <v>129</v>
      </c>
      <c r="C4" s="21" t="s">
        <v>140</v>
      </c>
      <c r="D4" s="10" t="s">
        <v>8</v>
      </c>
      <c r="E4" s="10" t="s">
        <v>146</v>
      </c>
      <c r="F4" s="19" t="s">
        <v>26</v>
      </c>
      <c r="G4" s="27" t="s">
        <v>0</v>
      </c>
      <c r="H4" s="1" t="s">
        <v>0</v>
      </c>
      <c r="I4" s="1" t="s">
        <v>0</v>
      </c>
      <c r="J4" s="3" t="str">
        <f t="shared" ref="J4:J24" si="0">IF(OR(AND(H4&gt;1,H4&lt;&gt;"-"),AND(I4&gt;1,I4&lt;&gt;"-")),"Can exchange","")</f>
        <v/>
      </c>
      <c r="L4" s="5"/>
    </row>
    <row r="5" spans="1:12" ht="15" customHeight="1" x14ac:dyDescent="0.35">
      <c r="A5" s="8">
        <v>2001</v>
      </c>
      <c r="B5" s="9" t="s">
        <v>129</v>
      </c>
      <c r="C5" s="21" t="s">
        <v>140</v>
      </c>
      <c r="D5" s="10" t="s">
        <v>8</v>
      </c>
      <c r="E5" s="10" t="s">
        <v>146</v>
      </c>
      <c r="F5" s="11" t="s">
        <v>78</v>
      </c>
      <c r="G5" s="27" t="s">
        <v>0</v>
      </c>
      <c r="H5" s="1">
        <v>1</v>
      </c>
      <c r="I5" s="1" t="s">
        <v>0</v>
      </c>
      <c r="J5" s="3" t="str">
        <f t="shared" si="0"/>
        <v/>
      </c>
    </row>
    <row r="6" spans="1:12" ht="15" customHeight="1" x14ac:dyDescent="0.35">
      <c r="A6" s="8">
        <v>2002</v>
      </c>
      <c r="B6" s="9" t="s">
        <v>129</v>
      </c>
      <c r="C6" s="21" t="s">
        <v>140</v>
      </c>
      <c r="D6" s="10" t="s">
        <v>8</v>
      </c>
      <c r="E6" s="10" t="s">
        <v>146</v>
      </c>
      <c r="F6" s="19" t="s">
        <v>28</v>
      </c>
      <c r="G6" s="27" t="s">
        <v>0</v>
      </c>
      <c r="H6" s="1" t="s">
        <v>0</v>
      </c>
      <c r="I6" s="1" t="s">
        <v>0</v>
      </c>
      <c r="J6" s="3" t="str">
        <f t="shared" si="0"/>
        <v/>
      </c>
    </row>
    <row r="7" spans="1:12" ht="15" customHeight="1" x14ac:dyDescent="0.35">
      <c r="A7" s="8">
        <v>2003</v>
      </c>
      <c r="B7" s="9" t="s">
        <v>129</v>
      </c>
      <c r="C7" s="21" t="s">
        <v>140</v>
      </c>
      <c r="D7" s="10" t="s">
        <v>8</v>
      </c>
      <c r="E7" s="10" t="s">
        <v>146</v>
      </c>
      <c r="F7" s="19" t="s">
        <v>79</v>
      </c>
      <c r="G7" s="27" t="s">
        <v>0</v>
      </c>
      <c r="H7" s="1" t="s">
        <v>0</v>
      </c>
      <c r="I7" s="1" t="s">
        <v>0</v>
      </c>
      <c r="J7" s="3" t="str">
        <f t="shared" si="0"/>
        <v/>
      </c>
    </row>
    <row r="8" spans="1:12" ht="15" customHeight="1" x14ac:dyDescent="0.35">
      <c r="A8" s="8">
        <v>2004</v>
      </c>
      <c r="B8" s="9" t="s">
        <v>129</v>
      </c>
      <c r="C8" s="21" t="s">
        <v>140</v>
      </c>
      <c r="D8" s="10" t="s">
        <v>8</v>
      </c>
      <c r="E8" s="10" t="s">
        <v>146</v>
      </c>
      <c r="F8" s="11" t="s">
        <v>80</v>
      </c>
      <c r="G8" s="27" t="s">
        <v>0</v>
      </c>
      <c r="H8" s="1">
        <v>0</v>
      </c>
      <c r="I8" s="1" t="s">
        <v>0</v>
      </c>
      <c r="J8" s="3" t="str">
        <f t="shared" si="0"/>
        <v/>
      </c>
    </row>
    <row r="9" spans="1:12" ht="15" customHeight="1" x14ac:dyDescent="0.35">
      <c r="A9" s="8">
        <v>2005</v>
      </c>
      <c r="B9" s="9" t="s">
        <v>129</v>
      </c>
      <c r="C9" s="21" t="s">
        <v>140</v>
      </c>
      <c r="D9" s="10" t="s">
        <v>8</v>
      </c>
      <c r="E9" s="10" t="s">
        <v>146</v>
      </c>
      <c r="F9" s="11" t="s">
        <v>81</v>
      </c>
      <c r="G9" s="27" t="s">
        <v>0</v>
      </c>
      <c r="H9" s="1">
        <v>0</v>
      </c>
      <c r="I9" s="1" t="s">
        <v>0</v>
      </c>
      <c r="J9" s="3" t="str">
        <f t="shared" si="0"/>
        <v/>
      </c>
    </row>
    <row r="10" spans="1:12" ht="15" customHeight="1" x14ac:dyDescent="0.35">
      <c r="A10" s="8">
        <v>2006</v>
      </c>
      <c r="B10" s="9" t="s">
        <v>129</v>
      </c>
      <c r="C10" s="21" t="s">
        <v>140</v>
      </c>
      <c r="D10" s="10" t="s">
        <v>8</v>
      </c>
      <c r="E10" s="10" t="s">
        <v>146</v>
      </c>
      <c r="F10" s="19" t="s">
        <v>82</v>
      </c>
      <c r="G10" s="27" t="s">
        <v>0</v>
      </c>
      <c r="H10" s="1" t="s">
        <v>0</v>
      </c>
      <c r="I10" s="1" t="s">
        <v>0</v>
      </c>
      <c r="J10" s="3" t="str">
        <f t="shared" si="0"/>
        <v/>
      </c>
    </row>
    <row r="11" spans="1:12" ht="15" customHeight="1" x14ac:dyDescent="0.35">
      <c r="A11" s="8">
        <v>2007</v>
      </c>
      <c r="B11" s="9" t="s">
        <v>129</v>
      </c>
      <c r="C11" s="21" t="s">
        <v>140</v>
      </c>
      <c r="D11" s="10" t="s">
        <v>9</v>
      </c>
      <c r="E11" s="10" t="s">
        <v>146</v>
      </c>
      <c r="F11" s="19" t="s">
        <v>66</v>
      </c>
      <c r="G11" s="27" t="s">
        <v>0</v>
      </c>
      <c r="H11" s="1" t="s">
        <v>0</v>
      </c>
      <c r="I11" s="1" t="s">
        <v>0</v>
      </c>
      <c r="J11" s="3" t="str">
        <f t="shared" si="0"/>
        <v/>
      </c>
    </row>
    <row r="12" spans="1:12" ht="15" customHeight="1" x14ac:dyDescent="0.35">
      <c r="A12" s="8">
        <v>2008</v>
      </c>
      <c r="B12" s="9" t="s">
        <v>130</v>
      </c>
      <c r="C12" s="10" t="s">
        <v>141</v>
      </c>
      <c r="D12" s="10" t="s">
        <v>9</v>
      </c>
      <c r="E12" s="10" t="s">
        <v>142</v>
      </c>
      <c r="F12" s="19" t="s">
        <v>34</v>
      </c>
      <c r="G12" s="27" t="s">
        <v>0</v>
      </c>
      <c r="H12" s="1" t="s">
        <v>0</v>
      </c>
      <c r="I12" s="1" t="s">
        <v>0</v>
      </c>
      <c r="J12" s="3" t="str">
        <f t="shared" si="0"/>
        <v/>
      </c>
    </row>
    <row r="13" spans="1:12" ht="15" customHeight="1" x14ac:dyDescent="0.35">
      <c r="A13" s="8">
        <v>2009</v>
      </c>
      <c r="B13" s="9" t="s">
        <v>129</v>
      </c>
      <c r="C13" s="10" t="s">
        <v>141</v>
      </c>
      <c r="D13" s="10" t="s">
        <v>9</v>
      </c>
      <c r="E13" s="10" t="s">
        <v>142</v>
      </c>
      <c r="F13" s="19" t="s">
        <v>67</v>
      </c>
      <c r="G13" s="27" t="s">
        <v>0</v>
      </c>
      <c r="H13" s="1" t="s">
        <v>0</v>
      </c>
      <c r="I13" s="1" t="s">
        <v>0</v>
      </c>
      <c r="J13" s="3" t="str">
        <f t="shared" si="0"/>
        <v/>
      </c>
    </row>
    <row r="14" spans="1:12" ht="15" customHeight="1" x14ac:dyDescent="0.35">
      <c r="A14" s="8">
        <v>2010</v>
      </c>
      <c r="B14" s="9" t="s">
        <v>129</v>
      </c>
      <c r="C14" s="10" t="s">
        <v>141</v>
      </c>
      <c r="D14" s="10" t="s">
        <v>9</v>
      </c>
      <c r="E14" s="10" t="s">
        <v>143</v>
      </c>
      <c r="F14" s="11" t="s">
        <v>53</v>
      </c>
      <c r="G14" s="27" t="s">
        <v>0</v>
      </c>
      <c r="H14" s="1">
        <v>0</v>
      </c>
      <c r="I14" s="1" t="s">
        <v>0</v>
      </c>
      <c r="J14" s="3" t="str">
        <f t="shared" si="0"/>
        <v/>
      </c>
    </row>
    <row r="15" spans="1:12" ht="15" customHeight="1" x14ac:dyDescent="0.35">
      <c r="A15" s="8">
        <v>2011</v>
      </c>
      <c r="B15" s="9" t="s">
        <v>129</v>
      </c>
      <c r="C15" s="10" t="s">
        <v>141</v>
      </c>
      <c r="D15" s="10" t="s">
        <v>9</v>
      </c>
      <c r="E15" s="10" t="s">
        <v>143</v>
      </c>
      <c r="F15" s="11" t="s">
        <v>68</v>
      </c>
      <c r="G15" s="27" t="s">
        <v>0</v>
      </c>
      <c r="H15" s="1">
        <v>0</v>
      </c>
      <c r="I15" s="1" t="s">
        <v>0</v>
      </c>
      <c r="J15" s="3" t="str">
        <f t="shared" si="0"/>
        <v/>
      </c>
    </row>
    <row r="16" spans="1:12" ht="15" customHeight="1" x14ac:dyDescent="0.35">
      <c r="A16" s="8">
        <v>2012</v>
      </c>
      <c r="B16" s="9" t="s">
        <v>129</v>
      </c>
      <c r="C16" s="10" t="s">
        <v>141</v>
      </c>
      <c r="D16" s="10" t="s">
        <v>9</v>
      </c>
      <c r="E16" s="10" t="s">
        <v>143</v>
      </c>
      <c r="F16" s="11" t="s">
        <v>83</v>
      </c>
      <c r="G16" s="27" t="s">
        <v>0</v>
      </c>
      <c r="H16" s="1">
        <v>0</v>
      </c>
      <c r="I16" s="1" t="s">
        <v>0</v>
      </c>
      <c r="J16" s="3" t="str">
        <f t="shared" si="0"/>
        <v/>
      </c>
    </row>
    <row r="17" spans="1:10" ht="15" customHeight="1" x14ac:dyDescent="0.35">
      <c r="A17" s="8">
        <v>2013</v>
      </c>
      <c r="B17" s="9" t="s">
        <v>129</v>
      </c>
      <c r="C17" s="10" t="s">
        <v>141</v>
      </c>
      <c r="D17" s="10" t="s">
        <v>9</v>
      </c>
      <c r="E17" s="10" t="s">
        <v>144</v>
      </c>
      <c r="F17" s="11" t="s">
        <v>84</v>
      </c>
      <c r="G17" s="27" t="s">
        <v>0</v>
      </c>
      <c r="H17" s="1">
        <v>0</v>
      </c>
      <c r="I17" s="1" t="s">
        <v>0</v>
      </c>
      <c r="J17" s="3" t="str">
        <f t="shared" si="0"/>
        <v/>
      </c>
    </row>
    <row r="18" spans="1:10" ht="15" customHeight="1" x14ac:dyDescent="0.35">
      <c r="A18" s="8">
        <v>2014</v>
      </c>
      <c r="B18" s="9" t="s">
        <v>131</v>
      </c>
      <c r="C18" s="10" t="s">
        <v>141</v>
      </c>
      <c r="D18" s="10" t="s">
        <v>9</v>
      </c>
      <c r="E18" s="10" t="s">
        <v>144</v>
      </c>
      <c r="F18" s="19" t="s">
        <v>40</v>
      </c>
      <c r="G18" s="27" t="s">
        <v>0</v>
      </c>
      <c r="H18" s="1" t="s">
        <v>0</v>
      </c>
      <c r="I18" s="1" t="s">
        <v>0</v>
      </c>
      <c r="J18" s="3" t="str">
        <f t="shared" si="0"/>
        <v/>
      </c>
    </row>
    <row r="19" spans="1:10" ht="15" customHeight="1" x14ac:dyDescent="0.35">
      <c r="A19" s="8">
        <v>2015</v>
      </c>
      <c r="B19" s="9" t="s">
        <v>131</v>
      </c>
      <c r="C19" s="10" t="s">
        <v>141</v>
      </c>
      <c r="D19" s="10" t="s">
        <v>9</v>
      </c>
      <c r="E19" s="10" t="s">
        <v>144</v>
      </c>
      <c r="F19" s="11" t="s">
        <v>85</v>
      </c>
      <c r="G19" s="27" t="s">
        <v>0</v>
      </c>
      <c r="H19" s="1">
        <v>0</v>
      </c>
      <c r="I19" s="1" t="s">
        <v>0</v>
      </c>
      <c r="J19" s="3" t="str">
        <f t="shared" si="0"/>
        <v/>
      </c>
    </row>
    <row r="20" spans="1:10" ht="15" customHeight="1" x14ac:dyDescent="0.35">
      <c r="A20" s="8">
        <v>2016</v>
      </c>
      <c r="B20" s="9" t="s">
        <v>131</v>
      </c>
      <c r="C20" s="10" t="s">
        <v>141</v>
      </c>
      <c r="D20" s="10" t="s">
        <v>9</v>
      </c>
      <c r="E20" s="10" t="s">
        <v>144</v>
      </c>
      <c r="F20" s="19" t="s">
        <v>86</v>
      </c>
      <c r="G20" s="27" t="s">
        <v>0</v>
      </c>
      <c r="H20" s="1" t="s">
        <v>0</v>
      </c>
      <c r="I20" s="1" t="s">
        <v>0</v>
      </c>
      <c r="J20" s="3" t="str">
        <f t="shared" si="0"/>
        <v/>
      </c>
    </row>
    <row r="21" spans="1:10" ht="15" customHeight="1" x14ac:dyDescent="0.35">
      <c r="A21" s="8">
        <v>2017</v>
      </c>
      <c r="B21" s="9" t="s">
        <v>131</v>
      </c>
      <c r="C21" s="10" t="s">
        <v>141</v>
      </c>
      <c r="D21" s="10" t="s">
        <v>9</v>
      </c>
      <c r="E21" s="10" t="s">
        <v>145</v>
      </c>
      <c r="F21" s="11" t="s">
        <v>87</v>
      </c>
      <c r="G21" s="27" t="s">
        <v>0</v>
      </c>
      <c r="H21" s="1">
        <v>0</v>
      </c>
      <c r="I21" s="1" t="s">
        <v>0</v>
      </c>
      <c r="J21" s="3" t="str">
        <f t="shared" si="0"/>
        <v/>
      </c>
    </row>
    <row r="22" spans="1:10" ht="15" customHeight="1" x14ac:dyDescent="0.35">
      <c r="A22" s="8">
        <v>2018</v>
      </c>
      <c r="B22" s="9" t="s">
        <v>131</v>
      </c>
      <c r="C22" s="10" t="s">
        <v>147</v>
      </c>
      <c r="D22" s="10" t="s">
        <v>9</v>
      </c>
      <c r="E22" s="10" t="s">
        <v>145</v>
      </c>
      <c r="F22" s="27" t="s">
        <v>0</v>
      </c>
      <c r="G22" s="11" t="s">
        <v>88</v>
      </c>
      <c r="H22" s="1" t="s">
        <v>0</v>
      </c>
      <c r="I22" s="1">
        <v>0</v>
      </c>
      <c r="J22" s="3" t="str">
        <f t="shared" si="0"/>
        <v/>
      </c>
    </row>
    <row r="23" spans="1:10" ht="15" customHeight="1" x14ac:dyDescent="0.35">
      <c r="A23" s="8">
        <v>2019</v>
      </c>
      <c r="B23" s="9" t="s">
        <v>131</v>
      </c>
      <c r="C23" s="10" t="s">
        <v>147</v>
      </c>
      <c r="D23" s="10" t="s">
        <v>9</v>
      </c>
      <c r="E23" s="10" t="s">
        <v>145</v>
      </c>
      <c r="F23" s="27" t="s">
        <v>0</v>
      </c>
      <c r="G23" s="11" t="s">
        <v>89</v>
      </c>
      <c r="H23" s="1" t="s">
        <v>0</v>
      </c>
      <c r="I23" s="1">
        <v>0</v>
      </c>
      <c r="J23" s="3" t="str">
        <f t="shared" si="0"/>
        <v/>
      </c>
    </row>
    <row r="24" spans="1:10" ht="15" customHeight="1" x14ac:dyDescent="0.35">
      <c r="A24" s="8">
        <v>2020</v>
      </c>
      <c r="B24" s="9" t="s">
        <v>131</v>
      </c>
      <c r="C24" s="10" t="s">
        <v>147</v>
      </c>
      <c r="D24" s="10" t="s">
        <v>9</v>
      </c>
      <c r="E24" s="10" t="s">
        <v>145</v>
      </c>
      <c r="F24" s="27" t="s">
        <v>0</v>
      </c>
      <c r="G24" s="26" t="s">
        <v>148</v>
      </c>
      <c r="H24" s="1" t="s">
        <v>0</v>
      </c>
      <c r="I24" s="1" t="s">
        <v>0</v>
      </c>
      <c r="J24" s="3" t="str">
        <f t="shared" si="0"/>
        <v/>
      </c>
    </row>
    <row r="25" spans="1:10" ht="15" customHeight="1" x14ac:dyDescent="0.35">
      <c r="A25" s="8">
        <v>2021</v>
      </c>
      <c r="B25" s="9" t="s">
        <v>131</v>
      </c>
      <c r="C25" s="10" t="s">
        <v>147</v>
      </c>
      <c r="D25" s="10" t="s">
        <v>9</v>
      </c>
      <c r="E25" s="10" t="s">
        <v>145</v>
      </c>
      <c r="F25" s="27" t="s">
        <v>0</v>
      </c>
      <c r="G25" s="26" t="s">
        <v>151</v>
      </c>
      <c r="H25" s="1" t="s">
        <v>0</v>
      </c>
      <c r="I25" s="1" t="s">
        <v>0</v>
      </c>
      <c r="J25" s="3" t="str">
        <f t="shared" ref="J25:J27" si="1">IF(OR(AND(H25&gt;1,H25&lt;&gt;"-"),AND(I25&gt;1,I25&lt;&gt;"-")),"Can exchange","")</f>
        <v/>
      </c>
    </row>
    <row r="26" spans="1:10" ht="15" customHeight="1" x14ac:dyDescent="0.35">
      <c r="A26" s="8">
        <v>2022</v>
      </c>
      <c r="B26" s="9" t="s">
        <v>131</v>
      </c>
      <c r="C26" s="10" t="s">
        <v>147</v>
      </c>
      <c r="D26" s="10" t="s">
        <v>9</v>
      </c>
      <c r="E26" s="10" t="s">
        <v>145</v>
      </c>
      <c r="F26" s="27" t="s">
        <v>0</v>
      </c>
      <c r="G26" s="26" t="s">
        <v>152</v>
      </c>
      <c r="H26" s="1" t="s">
        <v>0</v>
      </c>
      <c r="I26" s="1" t="s">
        <v>0</v>
      </c>
      <c r="J26" s="3" t="str">
        <f t="shared" si="1"/>
        <v/>
      </c>
    </row>
    <row r="27" spans="1:10" ht="15" customHeight="1" x14ac:dyDescent="0.35">
      <c r="A27" s="8">
        <v>2023</v>
      </c>
      <c r="B27" s="9" t="s">
        <v>131</v>
      </c>
      <c r="C27" s="10" t="s">
        <v>147</v>
      </c>
      <c r="D27" s="10" t="s">
        <v>9</v>
      </c>
      <c r="E27" s="10" t="s">
        <v>150</v>
      </c>
      <c r="F27" s="27" t="s">
        <v>0</v>
      </c>
      <c r="G27" s="11" t="s">
        <v>168</v>
      </c>
      <c r="H27" s="1" t="s">
        <v>0</v>
      </c>
      <c r="I27" s="1">
        <v>0</v>
      </c>
      <c r="J27" s="3" t="str">
        <f t="shared" si="1"/>
        <v/>
      </c>
    </row>
    <row r="28" spans="1:10" ht="15" customHeight="1" x14ac:dyDescent="0.35">
      <c r="A28" s="8">
        <v>2024</v>
      </c>
      <c r="B28" s="9" t="s">
        <v>131</v>
      </c>
      <c r="C28" s="10" t="s">
        <v>147</v>
      </c>
      <c r="D28" s="10" t="s">
        <v>9</v>
      </c>
      <c r="E28" s="10" t="s">
        <v>150</v>
      </c>
      <c r="F28" s="27" t="s">
        <v>0</v>
      </c>
      <c r="G28" s="26" t="s">
        <v>165</v>
      </c>
      <c r="H28" s="1" t="s">
        <v>0</v>
      </c>
      <c r="I28" s="1" t="s">
        <v>0</v>
      </c>
      <c r="J28" s="3" t="str">
        <f t="shared" ref="J28:J29" si="2">IF(OR(AND(H28&gt;1,H28&lt;&gt;"-"),AND(I28&gt;1,I28&lt;&gt;"-")),"Can exchange","")</f>
        <v/>
      </c>
    </row>
    <row r="29" spans="1:10" ht="15" customHeight="1" x14ac:dyDescent="0.35">
      <c r="A29" s="8">
        <v>2025</v>
      </c>
      <c r="B29" s="9" t="s">
        <v>131</v>
      </c>
      <c r="C29" s="10" t="s">
        <v>147</v>
      </c>
      <c r="D29" s="10" t="s">
        <v>9</v>
      </c>
      <c r="E29" s="10" t="s">
        <v>150</v>
      </c>
      <c r="F29" s="27" t="s">
        <v>0</v>
      </c>
      <c r="G29" s="26"/>
      <c r="H29" s="1" t="s">
        <v>0</v>
      </c>
      <c r="I29" s="1" t="s">
        <v>0</v>
      </c>
      <c r="J29" s="3" t="str">
        <f t="shared" si="2"/>
        <v/>
      </c>
    </row>
  </sheetData>
  <autoFilter ref="B2:G2" xr:uid="{00000000-0001-0000-0300-000000000000}"/>
  <mergeCells count="4">
    <mergeCell ref="C1:E1"/>
    <mergeCell ref="A1:A2"/>
    <mergeCell ref="F1:G1"/>
    <mergeCell ref="H1:I1"/>
  </mergeCells>
  <phoneticPr fontId="9" type="noConversion"/>
  <conditionalFormatting sqref="H20">
    <cfRule type="containsText" dxfId="105" priority="27" operator="containsText" text="*-">
      <formula>NOT(ISERROR(SEARCH(("*-"),(H20))))</formula>
    </cfRule>
  </conditionalFormatting>
  <conditionalFormatting sqref="H20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 H5 H8:H9 H19 H14:H17 H21 I22:I23">
    <cfRule type="containsText" dxfId="104" priority="45" operator="containsText" text="*-">
      <formula>NOT(ISERROR(SEARCH(("*-"),(H3))))</formula>
    </cfRule>
  </conditionalFormatting>
  <conditionalFormatting sqref="H5 H3 H8:H9 H19 H14:H17 H21 I22:I23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">
    <cfRule type="containsText" dxfId="103" priority="43" operator="containsText" text="*-">
      <formula>NOT(ISERROR(SEARCH(("*-"),(H4))))</formula>
    </cfRule>
  </conditionalFormatting>
  <conditionalFormatting sqref="H4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">
    <cfRule type="containsText" dxfId="102" priority="41" operator="containsText" text="*-">
      <formula>NOT(ISERROR(SEARCH(("*-"),(H6))))</formula>
    </cfRule>
  </conditionalFormatting>
  <conditionalFormatting sqref="H6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">
    <cfRule type="containsText" dxfId="101" priority="39" operator="containsText" text="*-">
      <formula>NOT(ISERROR(SEARCH(("*-"),(H7))))</formula>
    </cfRule>
  </conditionalFormatting>
  <conditionalFormatting sqref="H7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0">
    <cfRule type="containsText" dxfId="100" priority="37" operator="containsText" text="*-">
      <formula>NOT(ISERROR(SEARCH(("*-"),(H10))))</formula>
    </cfRule>
  </conditionalFormatting>
  <conditionalFormatting sqref="H10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1">
    <cfRule type="containsText" dxfId="99" priority="35" operator="containsText" text="*-">
      <formula>NOT(ISERROR(SEARCH(("*-"),(H11))))</formula>
    </cfRule>
  </conditionalFormatting>
  <conditionalFormatting sqref="H11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2">
    <cfRule type="containsText" dxfId="98" priority="33" operator="containsText" text="*-">
      <formula>NOT(ISERROR(SEARCH(("*-"),(H12))))</formula>
    </cfRule>
  </conditionalFormatting>
  <conditionalFormatting sqref="H12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3">
    <cfRule type="containsText" dxfId="97" priority="31" operator="containsText" text="*-">
      <formula>NOT(ISERROR(SEARCH(("*-"),(H13))))</formula>
    </cfRule>
  </conditionalFormatting>
  <conditionalFormatting sqref="H13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8">
    <cfRule type="containsText" dxfId="96" priority="29" operator="containsText" text="*-">
      <formula>NOT(ISERROR(SEARCH(("*-"),(H18))))</formula>
    </cfRule>
  </conditionalFormatting>
  <conditionalFormatting sqref="H18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3">
    <cfRule type="containsText" dxfId="95" priority="21" operator="containsText" text="*-">
      <formula>NOT(ISERROR(SEARCH(("*-"),(H23))))</formula>
    </cfRule>
  </conditionalFormatting>
  <conditionalFormatting sqref="H23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2">
    <cfRule type="containsText" dxfId="94" priority="23" operator="containsText" text="*-">
      <formula>NOT(ISERROR(SEARCH(("*-"),(H22))))</formula>
    </cfRule>
  </conditionalFormatting>
  <conditionalFormatting sqref="H22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4:H27">
    <cfRule type="containsText" dxfId="93" priority="19" operator="containsText" text="*-">
      <formula>NOT(ISERROR(SEARCH(("*-"),(H24))))</formula>
    </cfRule>
  </conditionalFormatting>
  <conditionalFormatting sqref="H24:H27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4:I26">
    <cfRule type="containsText" dxfId="92" priority="17" operator="containsText" text="*-">
      <formula>NOT(ISERROR(SEARCH(("*-"),(I24))))</formula>
    </cfRule>
  </conditionalFormatting>
  <conditionalFormatting sqref="I24:I26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:I21">
    <cfRule type="containsText" dxfId="91" priority="15" operator="containsText" text="*-">
      <formula>NOT(ISERROR(SEARCH(("*-"),(I3))))</formula>
    </cfRule>
  </conditionalFormatting>
  <conditionalFormatting sqref="I3:I21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7">
    <cfRule type="containsText" dxfId="90" priority="13" operator="containsText" text="*-">
      <formula>NOT(ISERROR(SEARCH(("*-"),(I27))))</formula>
    </cfRule>
  </conditionalFormatting>
  <conditionalFormatting sqref="I27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8">
    <cfRule type="containsText" dxfId="31" priority="11" operator="containsText" text="*-">
      <formula>NOT(ISERROR(SEARCH(("*-"),(H28))))</formula>
    </cfRule>
  </conditionalFormatting>
  <conditionalFormatting sqref="H28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9">
    <cfRule type="containsText" dxfId="29" priority="7" operator="containsText" text="*-">
      <formula>NOT(ISERROR(SEARCH(("*-"),(H29))))</formula>
    </cfRule>
  </conditionalFormatting>
  <conditionalFormatting sqref="H29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8">
    <cfRule type="containsText" dxfId="27" priority="3" operator="containsText" text="*-">
      <formula>NOT(ISERROR(SEARCH(("*-"),(I28))))</formula>
    </cfRule>
  </conditionalFormatting>
  <conditionalFormatting sqref="I28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9">
    <cfRule type="containsText" dxfId="26" priority="1" operator="containsText" text="*-">
      <formula>NOT(ISERROR(SEARCH(("*-"),(I29))))</formula>
    </cfRule>
  </conditionalFormatting>
  <conditionalFormatting sqref="I29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0"/>
  <sheetViews>
    <sheetView workbookViewId="0">
      <pane xSplit="11" ySplit="2" topLeftCell="L3" activePane="bottomRight" state="frozen"/>
      <selection pane="topRight" activeCell="H1" sqref="H1"/>
      <selection pane="bottomLeft" activeCell="A3" sqref="A3"/>
      <selection pane="bottomRight" activeCell="E35" sqref="E35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6" width="33.6328125" style="4" customWidth="1"/>
    <col min="7" max="8" width="12.6328125" style="4" customWidth="1"/>
    <col min="9" max="10" width="3.6328125" style="4" customWidth="1"/>
    <col min="11" max="11" width="12.6328125" style="4" customWidth="1"/>
  </cols>
  <sheetData>
    <row r="1" spans="1:13" ht="15" customHeight="1" x14ac:dyDescent="0.35">
      <c r="A1" s="30" t="s">
        <v>1</v>
      </c>
      <c r="B1" s="29"/>
      <c r="C1" s="32" t="s">
        <v>2</v>
      </c>
      <c r="D1" s="33"/>
      <c r="E1" s="33"/>
      <c r="F1" s="34"/>
      <c r="G1" s="39" t="s">
        <v>3</v>
      </c>
      <c r="H1" s="40"/>
      <c r="I1" s="35" t="s">
        <v>10</v>
      </c>
      <c r="J1" s="36"/>
      <c r="K1" s="2"/>
    </row>
    <row r="2" spans="1:13" ht="15" customHeight="1" x14ac:dyDescent="0.35">
      <c r="A2" s="31"/>
      <c r="B2" s="29" t="s">
        <v>157</v>
      </c>
      <c r="C2" s="6" t="s">
        <v>159</v>
      </c>
      <c r="D2" s="6" t="s">
        <v>161</v>
      </c>
      <c r="E2" s="6" t="s">
        <v>162</v>
      </c>
      <c r="F2" s="6" t="s">
        <v>158</v>
      </c>
      <c r="G2" s="7" t="s">
        <v>24</v>
      </c>
      <c r="H2" s="22" t="s">
        <v>149</v>
      </c>
      <c r="I2" s="6" t="s">
        <v>24</v>
      </c>
      <c r="J2" s="23" t="s">
        <v>149</v>
      </c>
      <c r="K2" s="2"/>
    </row>
    <row r="3" spans="1:13" ht="15" customHeight="1" x14ac:dyDescent="0.35">
      <c r="A3" s="8">
        <v>1999</v>
      </c>
      <c r="B3" s="9" t="s">
        <v>129</v>
      </c>
      <c r="C3" s="21" t="s">
        <v>140</v>
      </c>
      <c r="D3" s="10" t="s">
        <v>8</v>
      </c>
      <c r="E3" s="10" t="s">
        <v>146</v>
      </c>
      <c r="F3" s="10"/>
      <c r="G3" s="19" t="s">
        <v>46</v>
      </c>
      <c r="H3" s="27" t="s">
        <v>0</v>
      </c>
      <c r="I3" s="1" t="s">
        <v>0</v>
      </c>
      <c r="J3" s="1" t="s">
        <v>0</v>
      </c>
      <c r="K3" s="3" t="str">
        <f>IF(OR(AND(I3&gt;1,I3&lt;&gt;"-"),AND(J3&gt;1,J3&lt;&gt;"-")),"Can exchange","")</f>
        <v/>
      </c>
      <c r="M3" s="5"/>
    </row>
    <row r="4" spans="1:13" ht="15" customHeight="1" x14ac:dyDescent="0.35">
      <c r="A4" s="8">
        <v>2000</v>
      </c>
      <c r="B4" s="9" t="s">
        <v>129</v>
      </c>
      <c r="C4" s="21" t="s">
        <v>140</v>
      </c>
      <c r="D4" s="10" t="s">
        <v>8</v>
      </c>
      <c r="E4" s="10" t="s">
        <v>146</v>
      </c>
      <c r="F4" s="10"/>
      <c r="G4" s="11" t="s">
        <v>90</v>
      </c>
      <c r="H4" s="27" t="s">
        <v>0</v>
      </c>
      <c r="I4" s="1">
        <v>1</v>
      </c>
      <c r="J4" s="1" t="s">
        <v>0</v>
      </c>
      <c r="K4" s="3" t="str">
        <f t="shared" ref="K4:K25" si="0">IF(OR(AND(I4&gt;1,I4&lt;&gt;"-"),AND(J4&gt;1,J4&lt;&gt;"-")),"Can exchange","")</f>
        <v/>
      </c>
      <c r="M4" s="5"/>
    </row>
    <row r="5" spans="1:13" ht="15" customHeight="1" x14ac:dyDescent="0.35">
      <c r="A5" s="8">
        <v>2001</v>
      </c>
      <c r="B5" s="9" t="s">
        <v>129</v>
      </c>
      <c r="C5" s="21" t="s">
        <v>140</v>
      </c>
      <c r="D5" s="10" t="s">
        <v>8</v>
      </c>
      <c r="E5" s="10" t="s">
        <v>146</v>
      </c>
      <c r="F5" s="10"/>
      <c r="G5" s="19" t="s">
        <v>26</v>
      </c>
      <c r="H5" s="27" t="s">
        <v>0</v>
      </c>
      <c r="I5" s="1" t="s">
        <v>0</v>
      </c>
      <c r="J5" s="1" t="s">
        <v>0</v>
      </c>
      <c r="K5" s="3" t="str">
        <f t="shared" si="0"/>
        <v/>
      </c>
    </row>
    <row r="6" spans="1:13" ht="15" customHeight="1" x14ac:dyDescent="0.35">
      <c r="A6" s="8">
        <v>2002</v>
      </c>
      <c r="B6" s="9" t="s">
        <v>129</v>
      </c>
      <c r="C6" s="21" t="s">
        <v>140</v>
      </c>
      <c r="D6" s="10" t="s">
        <v>8</v>
      </c>
      <c r="E6" s="10" t="s">
        <v>146</v>
      </c>
      <c r="F6" s="10" t="s">
        <v>137</v>
      </c>
      <c r="G6" s="11" t="s">
        <v>91</v>
      </c>
      <c r="H6" s="27" t="s">
        <v>0</v>
      </c>
      <c r="I6" s="1">
        <v>0</v>
      </c>
      <c r="J6" s="1" t="s">
        <v>0</v>
      </c>
      <c r="K6" s="3" t="str">
        <f t="shared" si="0"/>
        <v/>
      </c>
    </row>
    <row r="7" spans="1:13" ht="15" customHeight="1" x14ac:dyDescent="0.35">
      <c r="A7" s="8">
        <v>2002</v>
      </c>
      <c r="B7" s="9" t="s">
        <v>129</v>
      </c>
      <c r="C7" s="21" t="s">
        <v>140</v>
      </c>
      <c r="D7" s="10" t="s">
        <v>8</v>
      </c>
      <c r="E7" s="10" t="s">
        <v>146</v>
      </c>
      <c r="F7" s="10" t="s">
        <v>136</v>
      </c>
      <c r="G7" s="11" t="s">
        <v>135</v>
      </c>
      <c r="H7" s="27" t="s">
        <v>0</v>
      </c>
      <c r="I7" s="1">
        <v>0</v>
      </c>
      <c r="J7" s="1" t="s">
        <v>0</v>
      </c>
      <c r="K7" s="3" t="str">
        <f t="shared" si="0"/>
        <v/>
      </c>
    </row>
    <row r="8" spans="1:13" ht="15" customHeight="1" x14ac:dyDescent="0.35">
      <c r="A8" s="8">
        <v>2003</v>
      </c>
      <c r="B8" s="9" t="s">
        <v>129</v>
      </c>
      <c r="C8" s="21" t="s">
        <v>140</v>
      </c>
      <c r="D8" s="10" t="s">
        <v>8</v>
      </c>
      <c r="E8" s="10" t="s">
        <v>146</v>
      </c>
      <c r="F8" s="10"/>
      <c r="G8" s="11" t="s">
        <v>62</v>
      </c>
      <c r="H8" s="27" t="s">
        <v>0</v>
      </c>
      <c r="I8" s="1">
        <v>1</v>
      </c>
      <c r="J8" s="1" t="s">
        <v>0</v>
      </c>
      <c r="K8" s="3" t="str">
        <f t="shared" si="0"/>
        <v/>
      </c>
    </row>
    <row r="9" spans="1:13" ht="15" customHeight="1" x14ac:dyDescent="0.35">
      <c r="A9" s="8">
        <v>2004</v>
      </c>
      <c r="B9" s="9" t="s">
        <v>129</v>
      </c>
      <c r="C9" s="21" t="s">
        <v>140</v>
      </c>
      <c r="D9" s="10" t="s">
        <v>8</v>
      </c>
      <c r="E9" s="10" t="s">
        <v>146</v>
      </c>
      <c r="F9" s="10"/>
      <c r="G9" s="11" t="s">
        <v>92</v>
      </c>
      <c r="H9" s="27" t="s">
        <v>0</v>
      </c>
      <c r="I9" s="1">
        <v>0</v>
      </c>
      <c r="J9" s="1" t="s">
        <v>0</v>
      </c>
      <c r="K9" s="3" t="str">
        <f t="shared" si="0"/>
        <v/>
      </c>
    </row>
    <row r="10" spans="1:13" ht="15" customHeight="1" x14ac:dyDescent="0.35">
      <c r="A10" s="8">
        <v>2005</v>
      </c>
      <c r="B10" s="9" t="s">
        <v>129</v>
      </c>
      <c r="C10" s="21" t="s">
        <v>140</v>
      </c>
      <c r="D10" s="10" t="s">
        <v>8</v>
      </c>
      <c r="E10" s="10" t="s">
        <v>146</v>
      </c>
      <c r="F10" s="10"/>
      <c r="G10" s="11" t="s">
        <v>81</v>
      </c>
      <c r="H10" s="27" t="s">
        <v>0</v>
      </c>
      <c r="I10" s="1">
        <v>1</v>
      </c>
      <c r="J10" s="1" t="s">
        <v>0</v>
      </c>
      <c r="K10" s="3" t="str">
        <f t="shared" si="0"/>
        <v/>
      </c>
    </row>
    <row r="11" spans="1:13" ht="15" customHeight="1" x14ac:dyDescent="0.35">
      <c r="A11" s="8">
        <v>2006</v>
      </c>
      <c r="B11" s="9" t="s">
        <v>129</v>
      </c>
      <c r="C11" s="21" t="s">
        <v>140</v>
      </c>
      <c r="D11" s="10" t="s">
        <v>8</v>
      </c>
      <c r="E11" s="10" t="s">
        <v>146</v>
      </c>
      <c r="F11" s="10"/>
      <c r="G11" s="11" t="s">
        <v>93</v>
      </c>
      <c r="H11" s="27" t="s">
        <v>0</v>
      </c>
      <c r="I11" s="1">
        <v>0</v>
      </c>
      <c r="J11" s="1" t="s">
        <v>0</v>
      </c>
      <c r="K11" s="3" t="str">
        <f t="shared" si="0"/>
        <v/>
      </c>
    </row>
    <row r="12" spans="1:13" ht="15" customHeight="1" x14ac:dyDescent="0.35">
      <c r="A12" s="8">
        <v>2007</v>
      </c>
      <c r="B12" s="9" t="s">
        <v>129</v>
      </c>
      <c r="C12" s="10" t="s">
        <v>141</v>
      </c>
      <c r="D12" s="10" t="s">
        <v>9</v>
      </c>
      <c r="E12" s="10" t="s">
        <v>146</v>
      </c>
      <c r="F12" s="10"/>
      <c r="G12" s="11" t="s">
        <v>94</v>
      </c>
      <c r="H12" s="27" t="s">
        <v>0</v>
      </c>
      <c r="I12" s="1">
        <v>0</v>
      </c>
      <c r="J12" s="1" t="s">
        <v>0</v>
      </c>
      <c r="K12" s="3" t="str">
        <f t="shared" si="0"/>
        <v/>
      </c>
    </row>
    <row r="13" spans="1:13" ht="15" customHeight="1" x14ac:dyDescent="0.35">
      <c r="A13" s="8">
        <v>2008</v>
      </c>
      <c r="B13" s="9" t="s">
        <v>130</v>
      </c>
      <c r="C13" s="10" t="s">
        <v>141</v>
      </c>
      <c r="D13" s="10" t="s">
        <v>9</v>
      </c>
      <c r="E13" s="10" t="s">
        <v>142</v>
      </c>
      <c r="F13" s="10"/>
      <c r="G13" s="11" t="s">
        <v>95</v>
      </c>
      <c r="H13" s="27" t="s">
        <v>0</v>
      </c>
      <c r="I13" s="1">
        <v>0</v>
      </c>
      <c r="J13" s="1" t="s">
        <v>0</v>
      </c>
      <c r="K13" s="3" t="str">
        <f t="shared" si="0"/>
        <v/>
      </c>
    </row>
    <row r="14" spans="1:13" ht="15" customHeight="1" x14ac:dyDescent="0.35">
      <c r="A14" s="8">
        <v>2009</v>
      </c>
      <c r="B14" s="9" t="s">
        <v>129</v>
      </c>
      <c r="C14" s="10" t="s">
        <v>141</v>
      </c>
      <c r="D14" s="10" t="s">
        <v>9</v>
      </c>
      <c r="E14" s="10" t="s">
        <v>142</v>
      </c>
      <c r="F14" s="10"/>
      <c r="G14" s="11" t="s">
        <v>96</v>
      </c>
      <c r="H14" s="27" t="s">
        <v>0</v>
      </c>
      <c r="I14" s="1">
        <v>1</v>
      </c>
      <c r="J14" s="1" t="s">
        <v>0</v>
      </c>
      <c r="K14" s="3" t="str">
        <f t="shared" si="0"/>
        <v/>
      </c>
    </row>
    <row r="15" spans="1:13" ht="15" customHeight="1" x14ac:dyDescent="0.35">
      <c r="A15" s="8">
        <v>2010</v>
      </c>
      <c r="B15" s="9" t="s">
        <v>129</v>
      </c>
      <c r="C15" s="10" t="s">
        <v>141</v>
      </c>
      <c r="D15" s="10" t="s">
        <v>9</v>
      </c>
      <c r="E15" s="10" t="s">
        <v>143</v>
      </c>
      <c r="F15" s="10"/>
      <c r="G15" s="11" t="s">
        <v>97</v>
      </c>
      <c r="H15" s="27" t="s">
        <v>0</v>
      </c>
      <c r="I15" s="1">
        <v>0</v>
      </c>
      <c r="J15" s="1" t="s">
        <v>0</v>
      </c>
      <c r="K15" s="3" t="str">
        <f t="shared" si="0"/>
        <v/>
      </c>
    </row>
    <row r="16" spans="1:13" ht="15" customHeight="1" x14ac:dyDescent="0.35">
      <c r="A16" s="8">
        <v>2011</v>
      </c>
      <c r="B16" s="9" t="s">
        <v>129</v>
      </c>
      <c r="C16" s="10" t="s">
        <v>141</v>
      </c>
      <c r="D16" s="10" t="s">
        <v>9</v>
      </c>
      <c r="E16" s="10" t="s">
        <v>143</v>
      </c>
      <c r="F16" s="10"/>
      <c r="G16" s="11" t="s">
        <v>98</v>
      </c>
      <c r="H16" s="27" t="s">
        <v>0</v>
      </c>
      <c r="I16" s="1">
        <v>0</v>
      </c>
      <c r="J16" s="1" t="s">
        <v>0</v>
      </c>
      <c r="K16" s="3" t="str">
        <f t="shared" si="0"/>
        <v/>
      </c>
    </row>
    <row r="17" spans="1:11" ht="15" customHeight="1" x14ac:dyDescent="0.35">
      <c r="A17" s="8">
        <v>2012</v>
      </c>
      <c r="B17" s="9" t="s">
        <v>129</v>
      </c>
      <c r="C17" s="10" t="s">
        <v>141</v>
      </c>
      <c r="D17" s="10" t="s">
        <v>9</v>
      </c>
      <c r="E17" s="10" t="s">
        <v>143</v>
      </c>
      <c r="F17" s="10"/>
      <c r="G17" s="11" t="s">
        <v>99</v>
      </c>
      <c r="H17" s="27" t="s">
        <v>0</v>
      </c>
      <c r="I17" s="1">
        <v>0</v>
      </c>
      <c r="J17" s="1" t="s">
        <v>0</v>
      </c>
      <c r="K17" s="3" t="str">
        <f t="shared" si="0"/>
        <v/>
      </c>
    </row>
    <row r="18" spans="1:11" ht="15" customHeight="1" x14ac:dyDescent="0.35">
      <c r="A18" s="8">
        <v>2013</v>
      </c>
      <c r="B18" s="9" t="s">
        <v>129</v>
      </c>
      <c r="C18" s="10" t="s">
        <v>141</v>
      </c>
      <c r="D18" s="10" t="s">
        <v>9</v>
      </c>
      <c r="E18" s="10" t="s">
        <v>144</v>
      </c>
      <c r="F18" s="10"/>
      <c r="G18" s="19" t="s">
        <v>100</v>
      </c>
      <c r="H18" s="27" t="s">
        <v>0</v>
      </c>
      <c r="I18" s="1" t="s">
        <v>0</v>
      </c>
      <c r="J18" s="1" t="s">
        <v>0</v>
      </c>
      <c r="K18" s="3" t="str">
        <f t="shared" si="0"/>
        <v/>
      </c>
    </row>
    <row r="19" spans="1:11" ht="15" customHeight="1" x14ac:dyDescent="0.35">
      <c r="A19" s="8">
        <v>2014</v>
      </c>
      <c r="B19" s="9" t="s">
        <v>131</v>
      </c>
      <c r="C19" s="10" t="s">
        <v>141</v>
      </c>
      <c r="D19" s="10" t="s">
        <v>9</v>
      </c>
      <c r="E19" s="10" t="s">
        <v>144</v>
      </c>
      <c r="F19" s="10"/>
      <c r="G19" s="19" t="s">
        <v>40</v>
      </c>
      <c r="H19" s="27" t="s">
        <v>0</v>
      </c>
      <c r="I19" s="1" t="s">
        <v>0</v>
      </c>
      <c r="J19" s="1" t="s">
        <v>0</v>
      </c>
      <c r="K19" s="3" t="str">
        <f t="shared" si="0"/>
        <v/>
      </c>
    </row>
    <row r="20" spans="1:11" ht="15" customHeight="1" x14ac:dyDescent="0.35">
      <c r="A20" s="8">
        <v>2015</v>
      </c>
      <c r="B20" s="9" t="s">
        <v>131</v>
      </c>
      <c r="C20" s="10" t="s">
        <v>141</v>
      </c>
      <c r="D20" s="10" t="s">
        <v>9</v>
      </c>
      <c r="E20" s="10" t="s">
        <v>144</v>
      </c>
      <c r="F20" s="10"/>
      <c r="G20" s="19" t="s">
        <v>101</v>
      </c>
      <c r="H20" s="27" t="s">
        <v>0</v>
      </c>
      <c r="I20" s="1" t="s">
        <v>0</v>
      </c>
      <c r="J20" s="1" t="s">
        <v>0</v>
      </c>
      <c r="K20" s="3" t="str">
        <f t="shared" si="0"/>
        <v/>
      </c>
    </row>
    <row r="21" spans="1:11" ht="15" customHeight="1" x14ac:dyDescent="0.35">
      <c r="A21" s="8">
        <v>2016</v>
      </c>
      <c r="B21" s="9" t="s">
        <v>131</v>
      </c>
      <c r="C21" s="10" t="s">
        <v>141</v>
      </c>
      <c r="D21" s="10" t="s">
        <v>9</v>
      </c>
      <c r="E21" s="10" t="s">
        <v>144</v>
      </c>
      <c r="F21" s="10"/>
      <c r="G21" s="19" t="s">
        <v>86</v>
      </c>
      <c r="H21" s="27" t="s">
        <v>0</v>
      </c>
      <c r="I21" s="1" t="s">
        <v>0</v>
      </c>
      <c r="J21" s="1" t="s">
        <v>0</v>
      </c>
      <c r="K21" s="3" t="str">
        <f t="shared" si="0"/>
        <v/>
      </c>
    </row>
    <row r="22" spans="1:11" ht="15" customHeight="1" x14ac:dyDescent="0.35">
      <c r="A22" s="8">
        <v>2017</v>
      </c>
      <c r="B22" s="9" t="s">
        <v>131</v>
      </c>
      <c r="C22" s="10" t="s">
        <v>141</v>
      </c>
      <c r="D22" s="10" t="s">
        <v>9</v>
      </c>
      <c r="E22" s="10" t="s">
        <v>145</v>
      </c>
      <c r="F22" s="10"/>
      <c r="G22" s="19" t="s">
        <v>60</v>
      </c>
      <c r="H22" s="27" t="s">
        <v>0</v>
      </c>
      <c r="I22" s="1" t="s">
        <v>0</v>
      </c>
      <c r="J22" s="1" t="s">
        <v>0</v>
      </c>
      <c r="K22" s="3" t="str">
        <f t="shared" si="0"/>
        <v/>
      </c>
    </row>
    <row r="23" spans="1:11" ht="15" customHeight="1" x14ac:dyDescent="0.35">
      <c r="A23" s="8">
        <v>2018</v>
      </c>
      <c r="B23" s="9" t="s">
        <v>131</v>
      </c>
      <c r="C23" s="10" t="s">
        <v>147</v>
      </c>
      <c r="D23" s="10" t="s">
        <v>9</v>
      </c>
      <c r="E23" s="10" t="s">
        <v>145</v>
      </c>
      <c r="F23" s="10"/>
      <c r="G23" s="27" t="s">
        <v>0</v>
      </c>
      <c r="H23" s="19" t="s">
        <v>44</v>
      </c>
      <c r="I23" s="1" t="s">
        <v>0</v>
      </c>
      <c r="J23" s="1" t="s">
        <v>0</v>
      </c>
      <c r="K23" s="3" t="str">
        <f t="shared" si="0"/>
        <v/>
      </c>
    </row>
    <row r="24" spans="1:11" ht="15" customHeight="1" x14ac:dyDescent="0.35">
      <c r="A24" s="8">
        <v>2019</v>
      </c>
      <c r="B24" s="9" t="s">
        <v>131</v>
      </c>
      <c r="C24" s="10" t="s">
        <v>147</v>
      </c>
      <c r="D24" s="10" t="s">
        <v>9</v>
      </c>
      <c r="E24" s="10" t="s">
        <v>145</v>
      </c>
      <c r="F24" s="10"/>
      <c r="G24" s="27" t="s">
        <v>0</v>
      </c>
      <c r="H24" s="11" t="s">
        <v>102</v>
      </c>
      <c r="I24" s="1" t="s">
        <v>0</v>
      </c>
      <c r="J24" s="1">
        <v>0</v>
      </c>
      <c r="K24" s="3" t="str">
        <f t="shared" si="0"/>
        <v/>
      </c>
    </row>
    <row r="25" spans="1:11" ht="15" customHeight="1" x14ac:dyDescent="0.35">
      <c r="A25" s="8">
        <v>2020</v>
      </c>
      <c r="B25" s="9" t="s">
        <v>131</v>
      </c>
      <c r="C25" s="10" t="s">
        <v>147</v>
      </c>
      <c r="D25" s="10" t="s">
        <v>9</v>
      </c>
      <c r="E25" s="10" t="s">
        <v>145</v>
      </c>
      <c r="F25" s="10"/>
      <c r="G25" s="27" t="s">
        <v>0</v>
      </c>
      <c r="H25" s="26" t="s">
        <v>148</v>
      </c>
      <c r="I25" s="1" t="s">
        <v>0</v>
      </c>
      <c r="J25" s="1" t="s">
        <v>0</v>
      </c>
      <c r="K25" s="3" t="str">
        <f t="shared" si="0"/>
        <v/>
      </c>
    </row>
    <row r="26" spans="1:11" ht="15" customHeight="1" x14ac:dyDescent="0.35">
      <c r="A26" s="8">
        <v>2021</v>
      </c>
      <c r="B26" s="9" t="s">
        <v>131</v>
      </c>
      <c r="C26" s="10" t="s">
        <v>147</v>
      </c>
      <c r="D26" s="10" t="s">
        <v>9</v>
      </c>
      <c r="E26" s="10" t="s">
        <v>145</v>
      </c>
      <c r="F26" s="10"/>
      <c r="G26" s="27" t="s">
        <v>0</v>
      </c>
      <c r="H26" s="27" t="s">
        <v>151</v>
      </c>
      <c r="I26" s="1" t="s">
        <v>0</v>
      </c>
      <c r="J26" s="1" t="s">
        <v>0</v>
      </c>
      <c r="K26" s="3" t="str">
        <f t="shared" ref="K26" si="1">IF(OR(AND(I26&gt;1,I26&lt;&gt;"-"),AND(J26&gt;1,J26&lt;&gt;"-")),"Can exchange","")</f>
        <v/>
      </c>
    </row>
    <row r="27" spans="1:11" ht="15" customHeight="1" x14ac:dyDescent="0.35">
      <c r="A27" s="8">
        <v>2022</v>
      </c>
      <c r="B27" s="9" t="s">
        <v>131</v>
      </c>
      <c r="C27" s="10" t="s">
        <v>147</v>
      </c>
      <c r="D27" s="10" t="s">
        <v>9</v>
      </c>
      <c r="E27" s="10" t="s">
        <v>145</v>
      </c>
      <c r="F27" s="10"/>
      <c r="G27" s="27" t="s">
        <v>0</v>
      </c>
      <c r="H27" s="27" t="s">
        <v>152</v>
      </c>
      <c r="I27" s="1" t="s">
        <v>0</v>
      </c>
      <c r="J27" s="1" t="s">
        <v>0</v>
      </c>
      <c r="K27" s="3" t="str">
        <f t="shared" ref="K27:K30" si="2">IF(OR(AND(I27&gt;1,I27&lt;&gt;"-"),AND(J27&gt;1,J27&lt;&gt;"-")),"Can exchange","")</f>
        <v/>
      </c>
    </row>
    <row r="28" spans="1:11" ht="15" customHeight="1" x14ac:dyDescent="0.35">
      <c r="A28" s="8">
        <v>2023</v>
      </c>
      <c r="B28" s="9" t="s">
        <v>131</v>
      </c>
      <c r="C28" s="10" t="s">
        <v>147</v>
      </c>
      <c r="D28" s="10" t="s">
        <v>9</v>
      </c>
      <c r="E28" s="10" t="s">
        <v>150</v>
      </c>
      <c r="F28" s="10"/>
      <c r="G28" s="27" t="s">
        <v>0</v>
      </c>
      <c r="H28" s="11" t="s">
        <v>156</v>
      </c>
      <c r="I28" s="1" t="s">
        <v>0</v>
      </c>
      <c r="J28" s="1">
        <v>0</v>
      </c>
      <c r="K28" s="3" t="str">
        <f t="shared" si="2"/>
        <v/>
      </c>
    </row>
    <row r="29" spans="1:11" ht="15" customHeight="1" x14ac:dyDescent="0.35">
      <c r="A29" s="8">
        <v>2024</v>
      </c>
      <c r="B29" s="9" t="s">
        <v>131</v>
      </c>
      <c r="C29" s="10" t="s">
        <v>147</v>
      </c>
      <c r="D29" s="10" t="s">
        <v>9</v>
      </c>
      <c r="E29" s="10" t="s">
        <v>150</v>
      </c>
      <c r="F29" s="10"/>
      <c r="G29" s="27" t="s">
        <v>0</v>
      </c>
      <c r="H29" s="26" t="s">
        <v>165</v>
      </c>
      <c r="I29" s="1" t="s">
        <v>0</v>
      </c>
      <c r="J29" s="1" t="s">
        <v>0</v>
      </c>
      <c r="K29" s="3" t="str">
        <f t="shared" si="2"/>
        <v/>
      </c>
    </row>
    <row r="30" spans="1:11" ht="15" customHeight="1" x14ac:dyDescent="0.35">
      <c r="A30" s="8">
        <v>2025</v>
      </c>
      <c r="B30" s="9" t="s">
        <v>131</v>
      </c>
      <c r="C30" s="10" t="s">
        <v>147</v>
      </c>
      <c r="D30" s="10" t="s">
        <v>9</v>
      </c>
      <c r="E30" s="10" t="s">
        <v>150</v>
      </c>
      <c r="F30" s="10"/>
      <c r="G30" s="27" t="s">
        <v>0</v>
      </c>
      <c r="H30" s="26"/>
      <c r="I30" s="1" t="s">
        <v>0</v>
      </c>
      <c r="J30" s="1" t="s">
        <v>0</v>
      </c>
      <c r="K30" s="3" t="str">
        <f t="shared" si="2"/>
        <v/>
      </c>
    </row>
  </sheetData>
  <autoFilter ref="B2:H2" xr:uid="{00000000-0001-0000-0400-000000000000}"/>
  <mergeCells count="4">
    <mergeCell ref="A1:A2"/>
    <mergeCell ref="C1:F1"/>
    <mergeCell ref="G1:H1"/>
    <mergeCell ref="I1:J1"/>
  </mergeCells>
  <conditionalFormatting sqref="I18:I23">
    <cfRule type="containsText" dxfId="89" priority="39" operator="containsText" text="*-">
      <formula>NOT(ISERROR(SEARCH(("*-"),(I18))))</formula>
    </cfRule>
  </conditionalFormatting>
  <conditionalFormatting sqref="I18:I23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 I6 I8:I17 J24">
    <cfRule type="containsText" dxfId="88" priority="45" operator="containsText" text="*-">
      <formula>NOT(ISERROR(SEARCH(("*-"),(I4))))</formula>
    </cfRule>
  </conditionalFormatting>
  <conditionalFormatting sqref="I6 I4 I8:I17 J24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">
    <cfRule type="containsText" dxfId="87" priority="43" operator="containsText" text="*-">
      <formula>NOT(ISERROR(SEARCH(("*-"),(I5))))</formula>
    </cfRule>
  </conditionalFormatting>
  <conditionalFormatting sqref="I5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">
    <cfRule type="containsText" dxfId="86" priority="41" operator="containsText" text="*-">
      <formula>NOT(ISERROR(SEARCH(("*-"),(I3))))</formula>
    </cfRule>
  </conditionalFormatting>
  <conditionalFormatting sqref="I3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4">
    <cfRule type="containsText" dxfId="85" priority="29" operator="containsText" text="*-">
      <formula>NOT(ISERROR(SEARCH(("*-"),(I24))))</formula>
    </cfRule>
  </conditionalFormatting>
  <conditionalFormatting sqref="I24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5">
    <cfRule type="containsText" dxfId="84" priority="31" operator="containsText" text="*-">
      <formula>NOT(ISERROR(SEARCH(("*-"),(I25))))</formula>
    </cfRule>
  </conditionalFormatting>
  <conditionalFormatting sqref="I25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5">
    <cfRule type="containsText" dxfId="83" priority="27" operator="containsText" text="*-">
      <formula>NOT(ISERROR(SEARCH(("*-"),(J25))))</formula>
    </cfRule>
  </conditionalFormatting>
  <conditionalFormatting sqref="J25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:J23">
    <cfRule type="containsText" dxfId="82" priority="25" operator="containsText" text="*-">
      <formula>NOT(ISERROR(SEARCH(("*-"),(J3))))</formula>
    </cfRule>
  </conditionalFormatting>
  <conditionalFormatting sqref="J3:J23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">
    <cfRule type="containsText" dxfId="81" priority="23" operator="containsText" text="*-">
      <formula>NOT(ISERROR(SEARCH(("*-"),(I7))))</formula>
    </cfRule>
  </conditionalFormatting>
  <conditionalFormatting sqref="I7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6:I28">
    <cfRule type="containsText" dxfId="80" priority="21" operator="containsText" text="*-">
      <formula>NOT(ISERROR(SEARCH(("*-"),(I26))))</formula>
    </cfRule>
  </conditionalFormatting>
  <conditionalFormatting sqref="I26:I28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6:J27">
    <cfRule type="containsText" dxfId="79" priority="19" operator="containsText" text="*-">
      <formula>NOT(ISERROR(SEARCH(("*-"),(J26))))</formula>
    </cfRule>
  </conditionalFormatting>
  <conditionalFormatting sqref="J26:J27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8">
    <cfRule type="containsText" dxfId="78" priority="17" operator="containsText" text="*-">
      <formula>NOT(ISERROR(SEARCH(("*-"),(J28))))</formula>
    </cfRule>
  </conditionalFormatting>
  <conditionalFormatting sqref="J28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9">
    <cfRule type="containsText" dxfId="17" priority="7" operator="containsText" text="*-">
      <formula>NOT(ISERROR(SEARCH(("*-"),(I29))))</formula>
    </cfRule>
  </conditionalFormatting>
  <conditionalFormatting sqref="I29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9">
    <cfRule type="containsText" dxfId="16" priority="5" operator="containsText" text="*-">
      <formula>NOT(ISERROR(SEARCH(("*-"),(J29))))</formula>
    </cfRule>
  </conditionalFormatting>
  <conditionalFormatting sqref="J29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0">
    <cfRule type="containsText" dxfId="15" priority="3" operator="containsText" text="*-">
      <formula>NOT(ISERROR(SEARCH(("*-"),(I30))))</formula>
    </cfRule>
  </conditionalFormatting>
  <conditionalFormatting sqref="I30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0">
    <cfRule type="containsText" dxfId="14" priority="1" operator="containsText" text="*-">
      <formula>NOT(ISERROR(SEARCH(("*-"),(J30))))</formula>
    </cfRule>
  </conditionalFormatting>
  <conditionalFormatting sqref="J30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9"/>
  <sheetViews>
    <sheetView zoomScaleNormal="100" workbookViewId="0">
      <pane xSplit="10" ySplit="2" topLeftCell="K3" activePane="bottomRight" state="frozen"/>
      <selection pane="topRight" activeCell="H1" sqref="H1"/>
      <selection pane="bottomLeft" activeCell="A3" sqref="A3"/>
      <selection pane="bottomRight" activeCell="G34" sqref="G34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5" width="33.6328125" style="4" customWidth="1"/>
    <col min="6" max="7" width="12.6328125" style="4" customWidth="1"/>
    <col min="8" max="9" width="3.6328125" style="4" customWidth="1"/>
    <col min="10" max="10" width="12.6328125" style="4" customWidth="1"/>
  </cols>
  <sheetData>
    <row r="1" spans="1:12" ht="15" customHeight="1" x14ac:dyDescent="0.35">
      <c r="A1" s="30" t="s">
        <v>1</v>
      </c>
      <c r="B1" s="29"/>
      <c r="C1" s="32" t="s">
        <v>2</v>
      </c>
      <c r="D1" s="33"/>
      <c r="E1" s="34"/>
      <c r="F1" s="39" t="s">
        <v>3</v>
      </c>
      <c r="G1" s="40"/>
      <c r="H1" s="35" t="s">
        <v>11</v>
      </c>
      <c r="I1" s="36"/>
      <c r="J1" s="2"/>
    </row>
    <row r="2" spans="1:12" ht="15" customHeight="1" x14ac:dyDescent="0.35">
      <c r="A2" s="31"/>
      <c r="B2" s="29" t="s">
        <v>157</v>
      </c>
      <c r="C2" s="6" t="s">
        <v>159</v>
      </c>
      <c r="D2" s="6" t="s">
        <v>161</v>
      </c>
      <c r="E2" s="6" t="s">
        <v>162</v>
      </c>
      <c r="F2" s="7" t="s">
        <v>24</v>
      </c>
      <c r="G2" s="22" t="s">
        <v>149</v>
      </c>
      <c r="H2" s="6" t="s">
        <v>24</v>
      </c>
      <c r="I2" s="23" t="s">
        <v>149</v>
      </c>
      <c r="J2" s="2"/>
    </row>
    <row r="3" spans="1:12" ht="15" customHeight="1" x14ac:dyDescent="0.35">
      <c r="A3" s="8">
        <v>1999</v>
      </c>
      <c r="B3" s="9" t="s">
        <v>129</v>
      </c>
      <c r="C3" s="21" t="s">
        <v>140</v>
      </c>
      <c r="D3" s="10" t="s">
        <v>8</v>
      </c>
      <c r="E3" s="10" t="s">
        <v>146</v>
      </c>
      <c r="F3" s="11" t="s">
        <v>103</v>
      </c>
      <c r="G3" s="27" t="s">
        <v>0</v>
      </c>
      <c r="H3" s="1">
        <v>1</v>
      </c>
      <c r="I3" s="1" t="s">
        <v>0</v>
      </c>
      <c r="J3" s="3" t="str">
        <f>IF(OR(AND(H3&gt;1,H3&lt;&gt;"-"),AND(I3&gt;1,I3&lt;&gt;"-")),"Can exchange","")</f>
        <v/>
      </c>
      <c r="L3" s="5"/>
    </row>
    <row r="4" spans="1:12" ht="15" customHeight="1" x14ac:dyDescent="0.35">
      <c r="A4" s="8">
        <v>2000</v>
      </c>
      <c r="B4" s="9" t="s">
        <v>129</v>
      </c>
      <c r="C4" s="21" t="s">
        <v>140</v>
      </c>
      <c r="D4" s="10" t="s">
        <v>8</v>
      </c>
      <c r="E4" s="10" t="s">
        <v>146</v>
      </c>
      <c r="F4" s="19" t="s">
        <v>26</v>
      </c>
      <c r="G4" s="27" t="s">
        <v>0</v>
      </c>
      <c r="H4" s="1" t="s">
        <v>0</v>
      </c>
      <c r="I4" s="1" t="s">
        <v>0</v>
      </c>
      <c r="J4" s="3" t="str">
        <f t="shared" ref="J4:J24" si="0">IF(OR(AND(H4&gt;1,H4&lt;&gt;"-"),AND(I4&gt;1,I4&lt;&gt;"-")),"Can exchange","")</f>
        <v/>
      </c>
      <c r="L4" s="5"/>
    </row>
    <row r="5" spans="1:12" ht="15" customHeight="1" x14ac:dyDescent="0.35">
      <c r="A5" s="8">
        <v>2001</v>
      </c>
      <c r="B5" s="9" t="s">
        <v>129</v>
      </c>
      <c r="C5" s="21" t="s">
        <v>140</v>
      </c>
      <c r="D5" s="10" t="s">
        <v>8</v>
      </c>
      <c r="E5" s="10" t="s">
        <v>146</v>
      </c>
      <c r="F5" s="19" t="s">
        <v>26</v>
      </c>
      <c r="G5" s="27" t="s">
        <v>0</v>
      </c>
      <c r="H5" s="1" t="s">
        <v>0</v>
      </c>
      <c r="I5" s="1" t="s">
        <v>0</v>
      </c>
      <c r="J5" s="3" t="str">
        <f t="shared" si="0"/>
        <v/>
      </c>
    </row>
    <row r="6" spans="1:12" ht="15" customHeight="1" x14ac:dyDescent="0.35">
      <c r="A6" s="8">
        <v>2002</v>
      </c>
      <c r="B6" s="9" t="s">
        <v>129</v>
      </c>
      <c r="C6" s="21" t="s">
        <v>140</v>
      </c>
      <c r="D6" s="10" t="s">
        <v>8</v>
      </c>
      <c r="E6" s="10" t="s">
        <v>146</v>
      </c>
      <c r="F6" s="11" t="s">
        <v>104</v>
      </c>
      <c r="G6" s="27" t="s">
        <v>0</v>
      </c>
      <c r="H6" s="1">
        <v>0</v>
      </c>
      <c r="I6" s="1" t="s">
        <v>0</v>
      </c>
      <c r="J6" s="3" t="str">
        <f t="shared" si="0"/>
        <v/>
      </c>
    </row>
    <row r="7" spans="1:12" ht="15" customHeight="1" x14ac:dyDescent="0.35">
      <c r="A7" s="8">
        <v>2003</v>
      </c>
      <c r="B7" s="9" t="s">
        <v>129</v>
      </c>
      <c r="C7" s="21" t="s">
        <v>140</v>
      </c>
      <c r="D7" s="10" t="s">
        <v>8</v>
      </c>
      <c r="E7" s="10" t="s">
        <v>146</v>
      </c>
      <c r="F7" s="19" t="s">
        <v>79</v>
      </c>
      <c r="G7" s="27" t="s">
        <v>0</v>
      </c>
      <c r="H7" s="1" t="s">
        <v>0</v>
      </c>
      <c r="I7" s="1" t="s">
        <v>0</v>
      </c>
      <c r="J7" s="3" t="str">
        <f t="shared" si="0"/>
        <v/>
      </c>
    </row>
    <row r="8" spans="1:12" ht="15" customHeight="1" x14ac:dyDescent="0.35">
      <c r="A8" s="8">
        <v>2004</v>
      </c>
      <c r="B8" s="9" t="s">
        <v>129</v>
      </c>
      <c r="C8" s="21" t="s">
        <v>140</v>
      </c>
      <c r="D8" s="10" t="s">
        <v>8</v>
      </c>
      <c r="E8" s="10" t="s">
        <v>146</v>
      </c>
      <c r="F8" s="11" t="s">
        <v>105</v>
      </c>
      <c r="G8" s="27" t="s">
        <v>0</v>
      </c>
      <c r="H8" s="1">
        <v>1</v>
      </c>
      <c r="I8" s="1" t="s">
        <v>0</v>
      </c>
      <c r="J8" s="3" t="str">
        <f t="shared" si="0"/>
        <v/>
      </c>
    </row>
    <row r="9" spans="1:12" ht="15" customHeight="1" x14ac:dyDescent="0.35">
      <c r="A9" s="8">
        <v>2005</v>
      </c>
      <c r="B9" s="9" t="s">
        <v>129</v>
      </c>
      <c r="C9" s="21" t="s">
        <v>140</v>
      </c>
      <c r="D9" s="10" t="s">
        <v>8</v>
      </c>
      <c r="E9" s="10" t="s">
        <v>146</v>
      </c>
      <c r="F9" s="19" t="s">
        <v>31</v>
      </c>
      <c r="G9" s="27" t="s">
        <v>0</v>
      </c>
      <c r="H9" s="1" t="s">
        <v>0</v>
      </c>
      <c r="I9" s="1" t="s">
        <v>0</v>
      </c>
      <c r="J9" s="3" t="str">
        <f t="shared" si="0"/>
        <v/>
      </c>
    </row>
    <row r="10" spans="1:12" ht="15" customHeight="1" x14ac:dyDescent="0.35">
      <c r="A10" s="8">
        <v>2006</v>
      </c>
      <c r="B10" s="9" t="s">
        <v>129</v>
      </c>
      <c r="C10" s="21" t="s">
        <v>140</v>
      </c>
      <c r="D10" s="10" t="s">
        <v>8</v>
      </c>
      <c r="E10" s="10" t="s">
        <v>146</v>
      </c>
      <c r="F10" s="19" t="s">
        <v>82</v>
      </c>
      <c r="G10" s="27" t="s">
        <v>0</v>
      </c>
      <c r="H10" s="1" t="s">
        <v>0</v>
      </c>
      <c r="I10" s="1" t="s">
        <v>0</v>
      </c>
      <c r="J10" s="3" t="str">
        <f t="shared" si="0"/>
        <v/>
      </c>
    </row>
    <row r="11" spans="1:12" ht="15" customHeight="1" x14ac:dyDescent="0.35">
      <c r="A11" s="8">
        <v>2007</v>
      </c>
      <c r="B11" s="9" t="s">
        <v>129</v>
      </c>
      <c r="C11" s="21" t="s">
        <v>140</v>
      </c>
      <c r="D11" s="10" t="s">
        <v>9</v>
      </c>
      <c r="E11" s="10" t="s">
        <v>146</v>
      </c>
      <c r="F11" s="11" t="s">
        <v>106</v>
      </c>
      <c r="G11" s="27" t="s">
        <v>0</v>
      </c>
      <c r="H11" s="1">
        <v>0</v>
      </c>
      <c r="I11" s="1" t="s">
        <v>0</v>
      </c>
      <c r="J11" s="3" t="str">
        <f t="shared" si="0"/>
        <v/>
      </c>
    </row>
    <row r="12" spans="1:12" ht="15" customHeight="1" x14ac:dyDescent="0.35">
      <c r="A12" s="8">
        <v>2008</v>
      </c>
      <c r="B12" s="9" t="s">
        <v>130</v>
      </c>
      <c r="C12" s="10" t="s">
        <v>141</v>
      </c>
      <c r="D12" s="10" t="s">
        <v>9</v>
      </c>
      <c r="E12" s="10" t="s">
        <v>142</v>
      </c>
      <c r="F12" s="11" t="s">
        <v>107</v>
      </c>
      <c r="G12" s="27" t="s">
        <v>0</v>
      </c>
      <c r="H12" s="1">
        <v>0</v>
      </c>
      <c r="I12" s="1" t="s">
        <v>0</v>
      </c>
      <c r="J12" s="3" t="str">
        <f t="shared" si="0"/>
        <v/>
      </c>
    </row>
    <row r="13" spans="1:12" ht="15" customHeight="1" x14ac:dyDescent="0.35">
      <c r="A13" s="8">
        <v>2009</v>
      </c>
      <c r="B13" s="9" t="s">
        <v>129</v>
      </c>
      <c r="C13" s="10" t="s">
        <v>141</v>
      </c>
      <c r="D13" s="10" t="s">
        <v>9</v>
      </c>
      <c r="E13" s="10" t="s">
        <v>142</v>
      </c>
      <c r="F13" s="11" t="s">
        <v>108</v>
      </c>
      <c r="G13" s="27" t="s">
        <v>0</v>
      </c>
      <c r="H13" s="1">
        <v>0</v>
      </c>
      <c r="I13" s="1" t="s">
        <v>0</v>
      </c>
      <c r="J13" s="3" t="str">
        <f t="shared" si="0"/>
        <v/>
      </c>
    </row>
    <row r="14" spans="1:12" ht="15" customHeight="1" x14ac:dyDescent="0.35">
      <c r="A14" s="8">
        <v>2010</v>
      </c>
      <c r="B14" s="9" t="s">
        <v>129</v>
      </c>
      <c r="C14" s="10" t="s">
        <v>141</v>
      </c>
      <c r="D14" s="10" t="s">
        <v>9</v>
      </c>
      <c r="E14" s="10" t="s">
        <v>143</v>
      </c>
      <c r="F14" s="19" t="s">
        <v>54</v>
      </c>
      <c r="G14" s="27" t="s">
        <v>0</v>
      </c>
      <c r="H14" s="1" t="s">
        <v>0</v>
      </c>
      <c r="I14" s="1" t="s">
        <v>0</v>
      </c>
      <c r="J14" s="3" t="str">
        <f t="shared" si="0"/>
        <v/>
      </c>
    </row>
    <row r="15" spans="1:12" ht="15" customHeight="1" x14ac:dyDescent="0.35">
      <c r="A15" s="8">
        <v>2011</v>
      </c>
      <c r="B15" s="9" t="s">
        <v>129</v>
      </c>
      <c r="C15" s="10" t="s">
        <v>141</v>
      </c>
      <c r="D15" s="10" t="s">
        <v>9</v>
      </c>
      <c r="E15" s="10" t="s">
        <v>143</v>
      </c>
      <c r="F15" s="11" t="s">
        <v>109</v>
      </c>
      <c r="G15" s="27" t="s">
        <v>0</v>
      </c>
      <c r="H15" s="1">
        <v>0</v>
      </c>
      <c r="I15" s="1" t="s">
        <v>0</v>
      </c>
      <c r="J15" s="3" t="str">
        <f t="shared" si="0"/>
        <v/>
      </c>
    </row>
    <row r="16" spans="1:12" ht="15" customHeight="1" x14ac:dyDescent="0.35">
      <c r="A16" s="8">
        <v>2012</v>
      </c>
      <c r="B16" s="9" t="s">
        <v>129</v>
      </c>
      <c r="C16" s="10" t="s">
        <v>141</v>
      </c>
      <c r="D16" s="10" t="s">
        <v>9</v>
      </c>
      <c r="E16" s="10" t="s">
        <v>143</v>
      </c>
      <c r="F16" s="11" t="s">
        <v>110</v>
      </c>
      <c r="G16" s="27" t="s">
        <v>0</v>
      </c>
      <c r="H16" s="1">
        <v>0</v>
      </c>
      <c r="I16" s="1" t="s">
        <v>0</v>
      </c>
      <c r="J16" s="3" t="str">
        <f t="shared" si="0"/>
        <v/>
      </c>
    </row>
    <row r="17" spans="1:10" ht="15" customHeight="1" x14ac:dyDescent="0.35">
      <c r="A17" s="8">
        <v>2013</v>
      </c>
      <c r="B17" s="9" t="s">
        <v>129</v>
      </c>
      <c r="C17" s="10" t="s">
        <v>141</v>
      </c>
      <c r="D17" s="10" t="s">
        <v>9</v>
      </c>
      <c r="E17" s="10" t="s">
        <v>144</v>
      </c>
      <c r="F17" s="19" t="s">
        <v>100</v>
      </c>
      <c r="G17" s="27" t="s">
        <v>0</v>
      </c>
      <c r="H17" s="1" t="s">
        <v>0</v>
      </c>
      <c r="I17" s="1" t="s">
        <v>0</v>
      </c>
      <c r="J17" s="3" t="str">
        <f t="shared" si="0"/>
        <v/>
      </c>
    </row>
    <row r="18" spans="1:10" ht="15" customHeight="1" x14ac:dyDescent="0.35">
      <c r="A18" s="8">
        <v>2014</v>
      </c>
      <c r="B18" s="9" t="s">
        <v>131</v>
      </c>
      <c r="C18" s="10" t="s">
        <v>141</v>
      </c>
      <c r="D18" s="10" t="s">
        <v>9</v>
      </c>
      <c r="E18" s="10" t="s">
        <v>144</v>
      </c>
      <c r="F18" s="11" t="s">
        <v>111</v>
      </c>
      <c r="G18" s="27" t="s">
        <v>0</v>
      </c>
      <c r="H18" s="1">
        <v>0</v>
      </c>
      <c r="I18" s="1" t="s">
        <v>0</v>
      </c>
      <c r="J18" s="3" t="str">
        <f t="shared" si="0"/>
        <v/>
      </c>
    </row>
    <row r="19" spans="1:10" ht="15" customHeight="1" x14ac:dyDescent="0.35">
      <c r="A19" s="8">
        <v>2015</v>
      </c>
      <c r="B19" s="9" t="s">
        <v>131</v>
      </c>
      <c r="C19" s="10" t="s">
        <v>141</v>
      </c>
      <c r="D19" s="10" t="s">
        <v>9</v>
      </c>
      <c r="E19" s="10" t="s">
        <v>144</v>
      </c>
      <c r="F19" s="11" t="s">
        <v>72</v>
      </c>
      <c r="G19" s="27" t="s">
        <v>0</v>
      </c>
      <c r="H19" s="1">
        <v>0</v>
      </c>
      <c r="I19" s="1" t="s">
        <v>0</v>
      </c>
      <c r="J19" s="3" t="str">
        <f t="shared" si="0"/>
        <v/>
      </c>
    </row>
    <row r="20" spans="1:10" ht="15" customHeight="1" x14ac:dyDescent="0.35">
      <c r="A20" s="8">
        <v>2016</v>
      </c>
      <c r="B20" s="9" t="s">
        <v>131</v>
      </c>
      <c r="C20" s="10" t="s">
        <v>141</v>
      </c>
      <c r="D20" s="10" t="s">
        <v>9</v>
      </c>
      <c r="E20" s="10" t="s">
        <v>144</v>
      </c>
      <c r="F20" s="11" t="s">
        <v>112</v>
      </c>
      <c r="G20" s="27" t="s">
        <v>0</v>
      </c>
      <c r="H20" s="1">
        <v>0</v>
      </c>
      <c r="I20" s="1" t="s">
        <v>0</v>
      </c>
      <c r="J20" s="3" t="str">
        <f t="shared" si="0"/>
        <v/>
      </c>
    </row>
    <row r="21" spans="1:10" ht="15" customHeight="1" x14ac:dyDescent="0.35">
      <c r="A21" s="8">
        <v>2017</v>
      </c>
      <c r="B21" s="9" t="s">
        <v>131</v>
      </c>
      <c r="C21" s="10" t="s">
        <v>141</v>
      </c>
      <c r="D21" s="10" t="s">
        <v>9</v>
      </c>
      <c r="E21" s="10" t="s">
        <v>145</v>
      </c>
      <c r="F21" s="11" t="s">
        <v>113</v>
      </c>
      <c r="G21" s="27" t="s">
        <v>0</v>
      </c>
      <c r="H21" s="1">
        <v>0</v>
      </c>
      <c r="I21" s="1" t="s">
        <v>0</v>
      </c>
      <c r="J21" s="3" t="str">
        <f t="shared" si="0"/>
        <v/>
      </c>
    </row>
    <row r="22" spans="1:10" ht="15" customHeight="1" x14ac:dyDescent="0.35">
      <c r="A22" s="8">
        <v>2018</v>
      </c>
      <c r="B22" s="9" t="s">
        <v>131</v>
      </c>
      <c r="C22" s="10" t="s">
        <v>147</v>
      </c>
      <c r="D22" s="10" t="s">
        <v>9</v>
      </c>
      <c r="E22" s="10" t="s">
        <v>145</v>
      </c>
      <c r="F22" s="27" t="s">
        <v>0</v>
      </c>
      <c r="G22" s="19" t="s">
        <v>44</v>
      </c>
      <c r="H22" s="1" t="s">
        <v>0</v>
      </c>
      <c r="I22" s="1" t="s">
        <v>0</v>
      </c>
      <c r="J22" s="3" t="str">
        <f t="shared" si="0"/>
        <v/>
      </c>
    </row>
    <row r="23" spans="1:10" ht="15" customHeight="1" x14ac:dyDescent="0.35">
      <c r="A23" s="8">
        <v>2019</v>
      </c>
      <c r="B23" s="9" t="s">
        <v>131</v>
      </c>
      <c r="C23" s="10" t="s">
        <v>147</v>
      </c>
      <c r="D23" s="10" t="s">
        <v>9</v>
      </c>
      <c r="E23" s="10" t="s">
        <v>145</v>
      </c>
      <c r="F23" s="27" t="s">
        <v>0</v>
      </c>
      <c r="G23" s="11" t="s">
        <v>114</v>
      </c>
      <c r="H23" s="1" t="s">
        <v>0</v>
      </c>
      <c r="I23" s="1">
        <v>0</v>
      </c>
      <c r="J23" s="3" t="str">
        <f t="shared" si="0"/>
        <v/>
      </c>
    </row>
    <row r="24" spans="1:10" ht="15" customHeight="1" x14ac:dyDescent="0.35">
      <c r="A24" s="8">
        <v>2020</v>
      </c>
      <c r="B24" s="9" t="s">
        <v>131</v>
      </c>
      <c r="C24" s="10" t="s">
        <v>147</v>
      </c>
      <c r="D24" s="10" t="s">
        <v>9</v>
      </c>
      <c r="E24" s="10" t="s">
        <v>145</v>
      </c>
      <c r="F24" s="27" t="s">
        <v>0</v>
      </c>
      <c r="G24" s="26" t="s">
        <v>148</v>
      </c>
      <c r="H24" s="1" t="s">
        <v>0</v>
      </c>
      <c r="I24" s="1" t="s">
        <v>0</v>
      </c>
      <c r="J24" s="3" t="str">
        <f t="shared" si="0"/>
        <v/>
      </c>
    </row>
    <row r="25" spans="1:10" ht="15" customHeight="1" x14ac:dyDescent="0.35">
      <c r="A25" s="8">
        <v>2021</v>
      </c>
      <c r="B25" s="9" t="s">
        <v>131</v>
      </c>
      <c r="C25" s="10" t="s">
        <v>147</v>
      </c>
      <c r="D25" s="10" t="s">
        <v>9</v>
      </c>
      <c r="E25" s="10" t="s">
        <v>145</v>
      </c>
      <c r="F25" s="27" t="s">
        <v>0</v>
      </c>
      <c r="G25" s="26" t="s">
        <v>151</v>
      </c>
      <c r="H25" s="1" t="s">
        <v>0</v>
      </c>
      <c r="I25" s="1" t="s">
        <v>0</v>
      </c>
      <c r="J25" s="3" t="str">
        <f t="shared" ref="J25:J28" si="1">IF(OR(AND(H25&gt;1,H25&lt;&gt;"-"),AND(I25&gt;1,I25&lt;&gt;"-")),"Can exchange","")</f>
        <v/>
      </c>
    </row>
    <row r="26" spans="1:10" ht="15" customHeight="1" x14ac:dyDescent="0.35">
      <c r="A26" s="8">
        <v>2022</v>
      </c>
      <c r="B26" s="9" t="s">
        <v>131</v>
      </c>
      <c r="C26" s="10" t="s">
        <v>147</v>
      </c>
      <c r="D26" s="10" t="s">
        <v>9</v>
      </c>
      <c r="E26" s="10" t="s">
        <v>145</v>
      </c>
      <c r="F26" s="27" t="s">
        <v>0</v>
      </c>
      <c r="G26" s="26" t="s">
        <v>152</v>
      </c>
      <c r="H26" s="1" t="s">
        <v>0</v>
      </c>
      <c r="I26" s="1" t="s">
        <v>0</v>
      </c>
      <c r="J26" s="3" t="str">
        <f t="shared" si="1"/>
        <v/>
      </c>
    </row>
    <row r="27" spans="1:10" ht="15" customHeight="1" x14ac:dyDescent="0.35">
      <c r="A27" s="8">
        <v>2023</v>
      </c>
      <c r="B27" s="9" t="s">
        <v>131</v>
      </c>
      <c r="C27" s="10" t="s">
        <v>147</v>
      </c>
      <c r="D27" s="10" t="s">
        <v>9</v>
      </c>
      <c r="E27" s="10" t="s">
        <v>150</v>
      </c>
      <c r="F27" s="27" t="s">
        <v>0</v>
      </c>
      <c r="G27" s="26" t="s">
        <v>154</v>
      </c>
      <c r="H27" s="1" t="s">
        <v>0</v>
      </c>
      <c r="I27" s="1" t="s">
        <v>0</v>
      </c>
      <c r="J27" s="3" t="str">
        <f t="shared" si="1"/>
        <v/>
      </c>
    </row>
    <row r="28" spans="1:10" ht="15" customHeight="1" x14ac:dyDescent="0.35">
      <c r="A28" s="8">
        <v>2024</v>
      </c>
      <c r="B28" s="9" t="s">
        <v>131</v>
      </c>
      <c r="C28" s="10" t="s">
        <v>147</v>
      </c>
      <c r="D28" s="10" t="s">
        <v>9</v>
      </c>
      <c r="E28" s="10" t="s">
        <v>150</v>
      </c>
      <c r="F28" s="27" t="s">
        <v>0</v>
      </c>
      <c r="G28" s="11" t="s">
        <v>169</v>
      </c>
      <c r="H28" s="1" t="s">
        <v>0</v>
      </c>
      <c r="I28" s="1">
        <v>0</v>
      </c>
      <c r="J28" s="3" t="str">
        <f t="shared" si="1"/>
        <v/>
      </c>
    </row>
    <row r="29" spans="1:10" ht="15" customHeight="1" x14ac:dyDescent="0.35">
      <c r="A29" s="8">
        <v>2025</v>
      </c>
      <c r="B29" s="9" t="s">
        <v>131</v>
      </c>
      <c r="C29" s="10" t="s">
        <v>147</v>
      </c>
      <c r="D29" s="10" t="s">
        <v>9</v>
      </c>
      <c r="E29" s="10" t="s">
        <v>150</v>
      </c>
      <c r="F29" s="27" t="s">
        <v>0</v>
      </c>
      <c r="G29" s="26"/>
      <c r="H29" s="1" t="s">
        <v>0</v>
      </c>
      <c r="I29" s="1" t="s">
        <v>0</v>
      </c>
      <c r="J29" s="3" t="str">
        <f t="shared" ref="J28:J29" si="2">IF(OR(AND(H29&gt;1,H29&lt;&gt;"-"),AND(I29&gt;1,I29&lt;&gt;"-")),"Can exchange","")</f>
        <v/>
      </c>
    </row>
  </sheetData>
  <autoFilter ref="B2:G2" xr:uid="{00000000-0001-0000-0500-000000000000}"/>
  <mergeCells count="4">
    <mergeCell ref="C1:E1"/>
    <mergeCell ref="A1:A2"/>
    <mergeCell ref="F1:G1"/>
    <mergeCell ref="H1:I1"/>
  </mergeCells>
  <phoneticPr fontId="9" type="noConversion"/>
  <conditionalFormatting sqref="H14">
    <cfRule type="containsText" dxfId="77" priority="21" operator="containsText" text="*-">
      <formula>NOT(ISERROR(SEARCH(("*-"),(H14))))</formula>
    </cfRule>
  </conditionalFormatting>
  <conditionalFormatting sqref="H14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 H6 H15:H16 H3 H18:H21 H11:H13 I23">
    <cfRule type="containsText" dxfId="76" priority="37" operator="containsText" text="*-">
      <formula>NOT(ISERROR(SEARCH(("*-"),(H3))))</formula>
    </cfRule>
  </conditionalFormatting>
  <conditionalFormatting sqref="H6 H8 H15:H16 H3 H18:H21 H11:H13 I23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">
    <cfRule type="containsText" dxfId="75" priority="35" operator="containsText" text="*-">
      <formula>NOT(ISERROR(SEARCH(("*-"),(H4))))</formula>
    </cfRule>
  </conditionalFormatting>
  <conditionalFormatting sqref="H4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">
    <cfRule type="containsText" dxfId="74" priority="33" operator="containsText" text="*-">
      <formula>NOT(ISERROR(SEARCH(("*-"),(H5))))</formula>
    </cfRule>
  </conditionalFormatting>
  <conditionalFormatting sqref="H5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">
    <cfRule type="containsText" dxfId="73" priority="31" operator="containsText" text="*-">
      <formula>NOT(ISERROR(SEARCH(("*-"),(H7))))</formula>
    </cfRule>
  </conditionalFormatting>
  <conditionalFormatting sqref="H7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9">
    <cfRule type="containsText" dxfId="72" priority="29" operator="containsText" text="*-">
      <formula>NOT(ISERROR(SEARCH(("*-"),(H9))))</formula>
    </cfRule>
  </conditionalFormatting>
  <conditionalFormatting sqref="H9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0">
    <cfRule type="containsText" dxfId="71" priority="27" operator="containsText" text="*-">
      <formula>NOT(ISERROR(SEARCH(("*-"),(H10))))</formula>
    </cfRule>
  </conditionalFormatting>
  <conditionalFormatting sqref="H10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2:I22 I3:I21">
    <cfRule type="containsText" dxfId="70" priority="25" operator="containsText" text="*-">
      <formula>NOT(ISERROR(SEARCH(("*-"),(H3))))</formula>
    </cfRule>
  </conditionalFormatting>
  <conditionalFormatting sqref="H22:I22 I3:I21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7">
    <cfRule type="containsText" dxfId="69" priority="23" operator="containsText" text="*-">
      <formula>NOT(ISERROR(SEARCH(("*-"),(H17))))</formula>
    </cfRule>
  </conditionalFormatting>
  <conditionalFormatting sqref="H17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4:I27">
    <cfRule type="containsText" dxfId="68" priority="15" operator="containsText" text="*-">
      <formula>NOT(ISERROR(SEARCH(("*-"),(I24))))</formula>
    </cfRule>
  </conditionalFormatting>
  <conditionalFormatting sqref="I24:I27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4:H27">
    <cfRule type="containsText" dxfId="67" priority="17" operator="containsText" text="*-">
      <formula>NOT(ISERROR(SEARCH(("*-"),(H24))))</formula>
    </cfRule>
  </conditionalFormatting>
  <conditionalFormatting sqref="H24:H27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3">
    <cfRule type="containsText" dxfId="66" priority="13" operator="containsText" text="*-">
      <formula>NOT(ISERROR(SEARCH(("*-"),(H23))))</formula>
    </cfRule>
  </conditionalFormatting>
  <conditionalFormatting sqref="H23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9">
    <cfRule type="containsText" dxfId="9" priority="5" operator="containsText" text="*-">
      <formula>NOT(ISERROR(SEARCH(("*-"),(I29))))</formula>
    </cfRule>
  </conditionalFormatting>
  <conditionalFormatting sqref="I29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9">
    <cfRule type="containsText" dxfId="8" priority="7" operator="containsText" text="*-">
      <formula>NOT(ISERROR(SEARCH(("*-"),(H29))))</formula>
    </cfRule>
  </conditionalFormatting>
  <conditionalFormatting sqref="H29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8">
    <cfRule type="containsText" dxfId="7" priority="3" operator="containsText" text="*-">
      <formula>NOT(ISERROR(SEARCH(("*-"),(I28))))</formula>
    </cfRule>
  </conditionalFormatting>
  <conditionalFormatting sqref="I28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8">
    <cfRule type="containsText" dxfId="6" priority="1" operator="containsText" text="*-">
      <formula>NOT(ISERROR(SEARCH(("*-"),(H28))))</formula>
    </cfRule>
  </conditionalFormatting>
  <conditionalFormatting sqref="H28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9"/>
  <sheetViews>
    <sheetView workbookViewId="0">
      <pane xSplit="10" ySplit="2" topLeftCell="K3" activePane="bottomRight" state="frozen"/>
      <selection pane="topRight" activeCell="H1" sqref="H1"/>
      <selection pane="bottomLeft" activeCell="A3" sqref="A3"/>
      <selection pane="bottomRight" activeCell="B33" sqref="B33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5" width="33.6328125" style="4" customWidth="1"/>
    <col min="6" max="7" width="12.6328125" style="4" customWidth="1"/>
    <col min="8" max="9" width="3.6328125" style="4" customWidth="1"/>
    <col min="10" max="10" width="12.6328125" style="4" customWidth="1"/>
  </cols>
  <sheetData>
    <row r="1" spans="1:11" ht="15" customHeight="1" x14ac:dyDescent="0.35">
      <c r="A1" s="30" t="s">
        <v>1</v>
      </c>
      <c r="B1" s="29"/>
      <c r="C1" s="32" t="s">
        <v>2</v>
      </c>
      <c r="D1" s="33"/>
      <c r="E1" s="34"/>
      <c r="F1" s="39" t="s">
        <v>3</v>
      </c>
      <c r="G1" s="40"/>
      <c r="H1" s="41" t="s">
        <v>12</v>
      </c>
      <c r="I1" s="42"/>
      <c r="J1" s="2"/>
    </row>
    <row r="2" spans="1:11" ht="15" customHeight="1" x14ac:dyDescent="0.35">
      <c r="A2" s="31"/>
      <c r="B2" s="29" t="s">
        <v>157</v>
      </c>
      <c r="C2" s="6" t="s">
        <v>159</v>
      </c>
      <c r="D2" s="6" t="s">
        <v>161</v>
      </c>
      <c r="E2" s="6" t="s">
        <v>162</v>
      </c>
      <c r="F2" s="7" t="s">
        <v>24</v>
      </c>
      <c r="G2" s="22" t="s">
        <v>149</v>
      </c>
      <c r="H2" s="6" t="s">
        <v>24</v>
      </c>
      <c r="I2" s="23" t="s">
        <v>149</v>
      </c>
      <c r="J2" s="2"/>
    </row>
    <row r="3" spans="1:11" ht="15" customHeight="1" x14ac:dyDescent="0.35">
      <c r="A3" s="8">
        <v>1999</v>
      </c>
      <c r="B3" s="9" t="s">
        <v>129</v>
      </c>
      <c r="C3" s="21" t="s">
        <v>140</v>
      </c>
      <c r="D3" s="10" t="s">
        <v>8</v>
      </c>
      <c r="E3" s="10" t="s">
        <v>146</v>
      </c>
      <c r="F3" s="11" t="s">
        <v>115</v>
      </c>
      <c r="G3" s="27" t="s">
        <v>0</v>
      </c>
      <c r="H3" s="1">
        <v>1</v>
      </c>
      <c r="I3" s="1" t="s">
        <v>0</v>
      </c>
      <c r="J3" s="3" t="str">
        <f>IF(OR(AND(H3&gt;1,H3&lt;&gt;"-"),AND(I3&gt;1,I3&lt;&gt;"-")),"Can exchange","")</f>
        <v/>
      </c>
    </row>
    <row r="4" spans="1:11" ht="15" customHeight="1" x14ac:dyDescent="0.35">
      <c r="A4" s="8">
        <v>2000</v>
      </c>
      <c r="B4" s="9" t="s">
        <v>129</v>
      </c>
      <c r="C4" s="21" t="s">
        <v>140</v>
      </c>
      <c r="D4" s="10" t="s">
        <v>8</v>
      </c>
      <c r="E4" s="10" t="s">
        <v>146</v>
      </c>
      <c r="F4" s="19" t="s">
        <v>26</v>
      </c>
      <c r="G4" s="27" t="s">
        <v>0</v>
      </c>
      <c r="H4" s="1" t="s">
        <v>0</v>
      </c>
      <c r="I4" s="1" t="s">
        <v>0</v>
      </c>
      <c r="J4" s="3" t="str">
        <f t="shared" ref="J4:J24" si="0">IF(OR(AND(H4&gt;1,H4&lt;&gt;"-"),AND(I4&gt;1,I4&lt;&gt;"-")),"Can exchange","")</f>
        <v/>
      </c>
      <c r="K4" s="12"/>
    </row>
    <row r="5" spans="1:11" ht="15" customHeight="1" x14ac:dyDescent="0.35">
      <c r="A5" s="8">
        <v>2001</v>
      </c>
      <c r="B5" s="9" t="s">
        <v>129</v>
      </c>
      <c r="C5" s="21" t="s">
        <v>140</v>
      </c>
      <c r="D5" s="10" t="s">
        <v>8</v>
      </c>
      <c r="E5" s="10" t="s">
        <v>146</v>
      </c>
      <c r="F5" s="19" t="s">
        <v>26</v>
      </c>
      <c r="G5" s="27" t="s">
        <v>0</v>
      </c>
      <c r="H5" s="1" t="s">
        <v>0</v>
      </c>
      <c r="I5" s="1" t="s">
        <v>0</v>
      </c>
      <c r="J5" s="3" t="str">
        <f t="shared" si="0"/>
        <v/>
      </c>
    </row>
    <row r="6" spans="1:11" ht="15" customHeight="1" x14ac:dyDescent="0.35">
      <c r="A6" s="8">
        <v>2002</v>
      </c>
      <c r="B6" s="9" t="s">
        <v>129</v>
      </c>
      <c r="C6" s="21" t="s">
        <v>140</v>
      </c>
      <c r="D6" s="10" t="s">
        <v>8</v>
      </c>
      <c r="E6" s="10" t="s">
        <v>146</v>
      </c>
      <c r="F6" s="11" t="s">
        <v>116</v>
      </c>
      <c r="G6" s="27" t="s">
        <v>0</v>
      </c>
      <c r="H6" s="1">
        <v>1</v>
      </c>
      <c r="I6" s="1" t="s">
        <v>0</v>
      </c>
      <c r="J6" s="3" t="str">
        <f t="shared" si="0"/>
        <v/>
      </c>
    </row>
    <row r="7" spans="1:11" ht="15" customHeight="1" x14ac:dyDescent="0.35">
      <c r="A7" s="8">
        <v>2003</v>
      </c>
      <c r="B7" s="9" t="s">
        <v>129</v>
      </c>
      <c r="C7" s="21" t="s">
        <v>140</v>
      </c>
      <c r="D7" s="10" t="s">
        <v>8</v>
      </c>
      <c r="E7" s="10" t="s">
        <v>146</v>
      </c>
      <c r="F7" s="11" t="s">
        <v>117</v>
      </c>
      <c r="G7" s="27" t="s">
        <v>0</v>
      </c>
      <c r="H7" s="1">
        <v>0</v>
      </c>
      <c r="I7" s="1" t="s">
        <v>0</v>
      </c>
      <c r="J7" s="3" t="str">
        <f t="shared" si="0"/>
        <v/>
      </c>
    </row>
    <row r="8" spans="1:11" ht="15" customHeight="1" x14ac:dyDescent="0.35">
      <c r="A8" s="8">
        <v>2004</v>
      </c>
      <c r="B8" s="9" t="s">
        <v>129</v>
      </c>
      <c r="C8" s="21" t="s">
        <v>140</v>
      </c>
      <c r="D8" s="10" t="s">
        <v>8</v>
      </c>
      <c r="E8" s="10" t="s">
        <v>146</v>
      </c>
      <c r="F8" s="11" t="s">
        <v>105</v>
      </c>
      <c r="G8" s="27" t="s">
        <v>0</v>
      </c>
      <c r="H8" s="1">
        <v>0</v>
      </c>
      <c r="I8" s="1" t="s">
        <v>0</v>
      </c>
      <c r="J8" s="3" t="str">
        <f t="shared" si="0"/>
        <v/>
      </c>
    </row>
    <row r="9" spans="1:11" ht="15" customHeight="1" x14ac:dyDescent="0.35">
      <c r="A9" s="8">
        <v>2005</v>
      </c>
      <c r="B9" s="9" t="s">
        <v>129</v>
      </c>
      <c r="C9" s="21" t="s">
        <v>140</v>
      </c>
      <c r="D9" s="10" t="s">
        <v>8</v>
      </c>
      <c r="E9" s="10" t="s">
        <v>146</v>
      </c>
      <c r="F9" s="19" t="s">
        <v>31</v>
      </c>
      <c r="G9" s="27" t="s">
        <v>0</v>
      </c>
      <c r="H9" s="1" t="s">
        <v>0</v>
      </c>
      <c r="I9" s="1" t="s">
        <v>0</v>
      </c>
      <c r="J9" s="3" t="str">
        <f t="shared" si="0"/>
        <v/>
      </c>
    </row>
    <row r="10" spans="1:11" ht="15" customHeight="1" x14ac:dyDescent="0.35">
      <c r="A10" s="8">
        <v>2006</v>
      </c>
      <c r="B10" s="9" t="s">
        <v>129</v>
      </c>
      <c r="C10" s="21" t="s">
        <v>140</v>
      </c>
      <c r="D10" s="10" t="s">
        <v>8</v>
      </c>
      <c r="E10" s="10" t="s">
        <v>146</v>
      </c>
      <c r="F10" s="19" t="s">
        <v>82</v>
      </c>
      <c r="G10" s="27" t="s">
        <v>0</v>
      </c>
      <c r="H10" s="1" t="s">
        <v>0</v>
      </c>
      <c r="I10" s="1" t="s">
        <v>0</v>
      </c>
      <c r="J10" s="3" t="str">
        <f t="shared" si="0"/>
        <v/>
      </c>
    </row>
    <row r="11" spans="1:11" ht="15" customHeight="1" x14ac:dyDescent="0.35">
      <c r="A11" s="8">
        <v>2007</v>
      </c>
      <c r="B11" s="9" t="s">
        <v>129</v>
      </c>
      <c r="C11" s="21" t="s">
        <v>140</v>
      </c>
      <c r="D11" s="10" t="s">
        <v>9</v>
      </c>
      <c r="E11" s="10" t="s">
        <v>146</v>
      </c>
      <c r="F11" s="19" t="s">
        <v>66</v>
      </c>
      <c r="G11" s="27" t="s">
        <v>0</v>
      </c>
      <c r="H11" s="1" t="s">
        <v>0</v>
      </c>
      <c r="I11" s="1" t="s">
        <v>0</v>
      </c>
      <c r="J11" s="3" t="str">
        <f t="shared" si="0"/>
        <v/>
      </c>
    </row>
    <row r="12" spans="1:11" ht="15" customHeight="1" x14ac:dyDescent="0.35">
      <c r="A12" s="8">
        <v>2008</v>
      </c>
      <c r="B12" s="9" t="s">
        <v>130</v>
      </c>
      <c r="C12" s="10" t="s">
        <v>141</v>
      </c>
      <c r="D12" s="10" t="s">
        <v>9</v>
      </c>
      <c r="E12" s="10" t="s">
        <v>142</v>
      </c>
      <c r="F12" s="11" t="s">
        <v>118</v>
      </c>
      <c r="G12" s="27" t="s">
        <v>0</v>
      </c>
      <c r="H12" s="1">
        <v>0</v>
      </c>
      <c r="I12" s="1" t="s">
        <v>0</v>
      </c>
      <c r="J12" s="3" t="str">
        <f t="shared" si="0"/>
        <v/>
      </c>
    </row>
    <row r="13" spans="1:11" ht="15" customHeight="1" x14ac:dyDescent="0.35">
      <c r="A13" s="8">
        <v>2009</v>
      </c>
      <c r="B13" s="9" t="s">
        <v>129</v>
      </c>
      <c r="C13" s="10" t="s">
        <v>141</v>
      </c>
      <c r="D13" s="10" t="s">
        <v>9</v>
      </c>
      <c r="E13" s="10" t="s">
        <v>142</v>
      </c>
      <c r="F13" s="11" t="s">
        <v>52</v>
      </c>
      <c r="G13" s="27" t="s">
        <v>0</v>
      </c>
      <c r="H13" s="1">
        <v>0</v>
      </c>
      <c r="I13" s="1" t="s">
        <v>0</v>
      </c>
      <c r="J13" s="3" t="str">
        <f t="shared" si="0"/>
        <v/>
      </c>
    </row>
    <row r="14" spans="1:11" ht="15" customHeight="1" x14ac:dyDescent="0.35">
      <c r="A14" s="8">
        <v>2010</v>
      </c>
      <c r="B14" s="9" t="s">
        <v>129</v>
      </c>
      <c r="C14" s="10" t="s">
        <v>141</v>
      </c>
      <c r="D14" s="10" t="s">
        <v>9</v>
      </c>
      <c r="E14" s="10" t="s">
        <v>143</v>
      </c>
      <c r="F14" s="19" t="s">
        <v>54</v>
      </c>
      <c r="G14" s="27" t="s">
        <v>0</v>
      </c>
      <c r="H14" s="1" t="s">
        <v>0</v>
      </c>
      <c r="I14" s="1" t="s">
        <v>0</v>
      </c>
      <c r="J14" s="3" t="str">
        <f t="shared" si="0"/>
        <v/>
      </c>
    </row>
    <row r="15" spans="1:11" ht="15" customHeight="1" x14ac:dyDescent="0.35">
      <c r="A15" s="8">
        <v>2011</v>
      </c>
      <c r="B15" s="9" t="s">
        <v>129</v>
      </c>
      <c r="C15" s="10" t="s">
        <v>141</v>
      </c>
      <c r="D15" s="10" t="s">
        <v>9</v>
      </c>
      <c r="E15" s="10" t="s">
        <v>143</v>
      </c>
      <c r="F15" s="11" t="s">
        <v>109</v>
      </c>
      <c r="G15" s="27" t="s">
        <v>0</v>
      </c>
      <c r="H15" s="1">
        <v>0</v>
      </c>
      <c r="I15" s="1" t="s">
        <v>0</v>
      </c>
      <c r="J15" s="3" t="str">
        <f t="shared" si="0"/>
        <v/>
      </c>
    </row>
    <row r="16" spans="1:11" ht="15" customHeight="1" x14ac:dyDescent="0.35">
      <c r="A16" s="8">
        <v>2012</v>
      </c>
      <c r="B16" s="9" t="s">
        <v>129</v>
      </c>
      <c r="C16" s="10" t="s">
        <v>141</v>
      </c>
      <c r="D16" s="10" t="s">
        <v>9</v>
      </c>
      <c r="E16" s="10" t="s">
        <v>143</v>
      </c>
      <c r="F16" s="11" t="s">
        <v>119</v>
      </c>
      <c r="G16" s="27" t="s">
        <v>0</v>
      </c>
      <c r="H16" s="1">
        <v>0</v>
      </c>
      <c r="I16" s="1" t="s">
        <v>0</v>
      </c>
      <c r="J16" s="3" t="str">
        <f t="shared" si="0"/>
        <v/>
      </c>
    </row>
    <row r="17" spans="1:10" ht="15" customHeight="1" x14ac:dyDescent="0.35">
      <c r="A17" s="8">
        <v>2013</v>
      </c>
      <c r="B17" s="9" t="s">
        <v>129</v>
      </c>
      <c r="C17" s="10" t="s">
        <v>141</v>
      </c>
      <c r="D17" s="10" t="s">
        <v>9</v>
      </c>
      <c r="E17" s="10" t="s">
        <v>144</v>
      </c>
      <c r="F17" s="19" t="s">
        <v>100</v>
      </c>
      <c r="G17" s="27" t="s">
        <v>0</v>
      </c>
      <c r="H17" s="1" t="s">
        <v>0</v>
      </c>
      <c r="I17" s="1" t="s">
        <v>0</v>
      </c>
      <c r="J17" s="3" t="str">
        <f t="shared" si="0"/>
        <v/>
      </c>
    </row>
    <row r="18" spans="1:10" ht="15" customHeight="1" x14ac:dyDescent="0.35">
      <c r="A18" s="8">
        <v>2014</v>
      </c>
      <c r="B18" s="9" t="s">
        <v>131</v>
      </c>
      <c r="C18" s="10" t="s">
        <v>141</v>
      </c>
      <c r="D18" s="10" t="s">
        <v>9</v>
      </c>
      <c r="E18" s="10" t="s">
        <v>144</v>
      </c>
      <c r="F18" s="19" t="s">
        <v>40</v>
      </c>
      <c r="G18" s="27" t="s">
        <v>0</v>
      </c>
      <c r="H18" s="1" t="s">
        <v>0</v>
      </c>
      <c r="I18" s="1" t="s">
        <v>0</v>
      </c>
      <c r="J18" s="3" t="str">
        <f t="shared" si="0"/>
        <v/>
      </c>
    </row>
    <row r="19" spans="1:10" ht="15" customHeight="1" x14ac:dyDescent="0.35">
      <c r="A19" s="8">
        <v>2015</v>
      </c>
      <c r="B19" s="9" t="s">
        <v>131</v>
      </c>
      <c r="C19" s="10" t="s">
        <v>141</v>
      </c>
      <c r="D19" s="10" t="s">
        <v>9</v>
      </c>
      <c r="E19" s="10" t="s">
        <v>144</v>
      </c>
      <c r="F19" s="19" t="s">
        <v>101</v>
      </c>
      <c r="G19" s="27" t="s">
        <v>0</v>
      </c>
      <c r="H19" s="1" t="s">
        <v>0</v>
      </c>
      <c r="I19" s="1" t="s">
        <v>0</v>
      </c>
      <c r="J19" s="3" t="str">
        <f t="shared" si="0"/>
        <v/>
      </c>
    </row>
    <row r="20" spans="1:10" ht="15" customHeight="1" x14ac:dyDescent="0.35">
      <c r="A20" s="8">
        <v>2016</v>
      </c>
      <c r="B20" s="9" t="s">
        <v>131</v>
      </c>
      <c r="C20" s="10" t="s">
        <v>141</v>
      </c>
      <c r="D20" s="10" t="s">
        <v>9</v>
      </c>
      <c r="E20" s="10" t="s">
        <v>144</v>
      </c>
      <c r="F20" s="19" t="s">
        <v>86</v>
      </c>
      <c r="G20" s="27" t="s">
        <v>0</v>
      </c>
      <c r="H20" s="1" t="s">
        <v>0</v>
      </c>
      <c r="I20" s="1" t="s">
        <v>0</v>
      </c>
      <c r="J20" s="3" t="str">
        <f t="shared" si="0"/>
        <v/>
      </c>
    </row>
    <row r="21" spans="1:10" ht="15" customHeight="1" x14ac:dyDescent="0.35">
      <c r="A21" s="8">
        <v>2017</v>
      </c>
      <c r="B21" s="9" t="s">
        <v>131</v>
      </c>
      <c r="C21" s="10" t="s">
        <v>141</v>
      </c>
      <c r="D21" s="10" t="s">
        <v>9</v>
      </c>
      <c r="E21" s="10" t="s">
        <v>145</v>
      </c>
      <c r="F21" s="19" t="s">
        <v>60</v>
      </c>
      <c r="G21" s="27" t="s">
        <v>0</v>
      </c>
      <c r="H21" s="1" t="s">
        <v>0</v>
      </c>
      <c r="I21" s="1" t="s">
        <v>0</v>
      </c>
      <c r="J21" s="3" t="str">
        <f t="shared" si="0"/>
        <v/>
      </c>
    </row>
    <row r="22" spans="1:10" ht="15" customHeight="1" x14ac:dyDescent="0.35">
      <c r="A22" s="8">
        <v>2018</v>
      </c>
      <c r="B22" s="9" t="s">
        <v>131</v>
      </c>
      <c r="C22" s="10" t="s">
        <v>147</v>
      </c>
      <c r="D22" s="10" t="s">
        <v>9</v>
      </c>
      <c r="E22" s="10" t="s">
        <v>145</v>
      </c>
      <c r="F22" s="27" t="s">
        <v>0</v>
      </c>
      <c r="G22" s="19" t="s">
        <v>44</v>
      </c>
      <c r="H22" s="1" t="s">
        <v>0</v>
      </c>
      <c r="I22" s="1" t="s">
        <v>0</v>
      </c>
      <c r="J22" s="3" t="str">
        <f t="shared" si="0"/>
        <v/>
      </c>
    </row>
    <row r="23" spans="1:10" ht="15" customHeight="1" x14ac:dyDescent="0.35">
      <c r="A23" s="8">
        <v>2019</v>
      </c>
      <c r="B23" s="9" t="s">
        <v>131</v>
      </c>
      <c r="C23" s="10" t="s">
        <v>147</v>
      </c>
      <c r="D23" s="10" t="s">
        <v>9</v>
      </c>
      <c r="E23" s="10" t="s">
        <v>145</v>
      </c>
      <c r="F23" s="27" t="s">
        <v>0</v>
      </c>
      <c r="G23" s="19" t="s">
        <v>45</v>
      </c>
      <c r="H23" s="1" t="s">
        <v>0</v>
      </c>
      <c r="I23" s="1" t="s">
        <v>0</v>
      </c>
      <c r="J23" s="3" t="str">
        <f t="shared" si="0"/>
        <v/>
      </c>
    </row>
    <row r="24" spans="1:10" ht="15" customHeight="1" x14ac:dyDescent="0.35">
      <c r="A24" s="8">
        <v>2020</v>
      </c>
      <c r="B24" s="9" t="s">
        <v>131</v>
      </c>
      <c r="C24" s="10" t="s">
        <v>147</v>
      </c>
      <c r="D24" s="10" t="s">
        <v>9</v>
      </c>
      <c r="E24" s="10" t="s">
        <v>145</v>
      </c>
      <c r="F24" s="27" t="s">
        <v>0</v>
      </c>
      <c r="G24" s="26" t="s">
        <v>148</v>
      </c>
      <c r="H24" s="1" t="s">
        <v>0</v>
      </c>
      <c r="I24" s="1" t="s">
        <v>0</v>
      </c>
      <c r="J24" s="3" t="str">
        <f t="shared" si="0"/>
        <v/>
      </c>
    </row>
    <row r="25" spans="1:10" ht="15" customHeight="1" x14ac:dyDescent="0.35">
      <c r="A25" s="8">
        <v>2021</v>
      </c>
      <c r="B25" s="9" t="s">
        <v>131</v>
      </c>
      <c r="C25" s="10" t="s">
        <v>147</v>
      </c>
      <c r="D25" s="10" t="s">
        <v>9</v>
      </c>
      <c r="E25" s="10" t="s">
        <v>145</v>
      </c>
      <c r="F25" s="27" t="s">
        <v>0</v>
      </c>
      <c r="G25" s="26" t="s">
        <v>151</v>
      </c>
      <c r="H25" s="1" t="s">
        <v>0</v>
      </c>
      <c r="I25" s="1" t="s">
        <v>0</v>
      </c>
      <c r="J25" s="3" t="str">
        <f t="shared" ref="J25:J27" si="1">IF(OR(AND(H25&gt;1,H25&lt;&gt;"-"),AND(I25&gt;1,I25&lt;&gt;"-")),"Can exchange","")</f>
        <v/>
      </c>
    </row>
    <row r="26" spans="1:10" ht="15" customHeight="1" x14ac:dyDescent="0.35">
      <c r="A26" s="8">
        <v>2022</v>
      </c>
      <c r="B26" s="9" t="s">
        <v>131</v>
      </c>
      <c r="C26" s="10" t="s">
        <v>147</v>
      </c>
      <c r="D26" s="10" t="s">
        <v>9</v>
      </c>
      <c r="E26" s="10" t="s">
        <v>145</v>
      </c>
      <c r="F26" s="27" t="s">
        <v>0</v>
      </c>
      <c r="G26" s="26" t="s">
        <v>152</v>
      </c>
      <c r="H26" s="1" t="s">
        <v>0</v>
      </c>
      <c r="I26" s="1" t="s">
        <v>0</v>
      </c>
      <c r="J26" s="3" t="str">
        <f t="shared" si="1"/>
        <v/>
      </c>
    </row>
    <row r="27" spans="1:10" ht="15" customHeight="1" x14ac:dyDescent="0.35">
      <c r="A27" s="8">
        <v>2023</v>
      </c>
      <c r="B27" s="9" t="s">
        <v>131</v>
      </c>
      <c r="C27" s="10" t="s">
        <v>147</v>
      </c>
      <c r="D27" s="10" t="s">
        <v>9</v>
      </c>
      <c r="E27" s="10" t="s">
        <v>150</v>
      </c>
      <c r="F27" s="27" t="s">
        <v>0</v>
      </c>
      <c r="G27" s="26" t="s">
        <v>166</v>
      </c>
      <c r="H27" s="1" t="s">
        <v>0</v>
      </c>
      <c r="I27" s="1" t="s">
        <v>0</v>
      </c>
      <c r="J27" s="3" t="str">
        <f t="shared" si="1"/>
        <v/>
      </c>
    </row>
    <row r="28" spans="1:10" ht="15" customHeight="1" x14ac:dyDescent="0.35">
      <c r="A28" s="8">
        <v>2024</v>
      </c>
      <c r="B28" s="9" t="s">
        <v>131</v>
      </c>
      <c r="C28" s="10" t="s">
        <v>147</v>
      </c>
      <c r="D28" s="10" t="s">
        <v>9</v>
      </c>
      <c r="E28" s="10" t="s">
        <v>150</v>
      </c>
      <c r="F28" s="27" t="s">
        <v>0</v>
      </c>
      <c r="G28" s="26" t="s">
        <v>165</v>
      </c>
      <c r="H28" s="1" t="s">
        <v>0</v>
      </c>
      <c r="I28" s="1" t="s">
        <v>0</v>
      </c>
      <c r="J28" s="3" t="str">
        <f t="shared" ref="J28" si="2">IF(OR(AND(H28&gt;1,H28&lt;&gt;"-"),AND(I28&gt;1,I28&lt;&gt;"-")),"Can exchange","")</f>
        <v/>
      </c>
    </row>
    <row r="29" spans="1:10" ht="15" customHeight="1" x14ac:dyDescent="0.35">
      <c r="A29" s="8">
        <v>2025</v>
      </c>
      <c r="B29" s="9" t="s">
        <v>131</v>
      </c>
      <c r="C29" s="10" t="s">
        <v>147</v>
      </c>
      <c r="D29" s="10" t="s">
        <v>9</v>
      </c>
      <c r="E29" s="10" t="s">
        <v>150</v>
      </c>
      <c r="F29" s="27" t="s">
        <v>0</v>
      </c>
      <c r="G29" s="26"/>
      <c r="H29" s="1" t="s">
        <v>0</v>
      </c>
      <c r="I29" s="1" t="s">
        <v>0</v>
      </c>
      <c r="J29" s="3" t="str">
        <f t="shared" ref="J29" si="3">IF(OR(AND(H29&gt;1,H29&lt;&gt;"-"),AND(I29&gt;1,I29&lt;&gt;"-")),"Can exchange","")</f>
        <v/>
      </c>
    </row>
  </sheetData>
  <autoFilter ref="B2:G2" xr:uid="{00000000-0001-0000-0600-000000000000}"/>
  <mergeCells count="4">
    <mergeCell ref="C1:E1"/>
    <mergeCell ref="A1:A2"/>
    <mergeCell ref="F1:G1"/>
    <mergeCell ref="H1:I1"/>
  </mergeCells>
  <phoneticPr fontId="9" type="noConversion"/>
  <conditionalFormatting sqref="H17:H23">
    <cfRule type="containsText" dxfId="65" priority="7" operator="containsText" text="*-">
      <formula>NOT(ISERROR(SEARCH(("*-"),(H17))))</formula>
    </cfRule>
  </conditionalFormatting>
  <conditionalFormatting sqref="H17:H23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:H8 H15:H16 H12:H13 H3">
    <cfRule type="containsText" dxfId="64" priority="21" operator="containsText" text="*-">
      <formula>NOT(ISERROR(SEARCH(("*-"),(H3))))</formula>
    </cfRule>
  </conditionalFormatting>
  <conditionalFormatting sqref="H6:H8 H15:H16 H12:H13 H3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">
    <cfRule type="containsText" dxfId="63" priority="19" operator="containsText" text="*-">
      <formula>NOT(ISERROR(SEARCH(("*-"),(H4))))</formula>
    </cfRule>
  </conditionalFormatting>
  <conditionalFormatting sqref="H4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">
    <cfRule type="containsText" dxfId="62" priority="17" operator="containsText" text="*-">
      <formula>NOT(ISERROR(SEARCH(("*-"),(H5))))</formula>
    </cfRule>
  </conditionalFormatting>
  <conditionalFormatting sqref="H5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9">
    <cfRule type="containsText" dxfId="61" priority="15" operator="containsText" text="*-">
      <formula>NOT(ISERROR(SEARCH(("*-"),(H9))))</formula>
    </cfRule>
  </conditionalFormatting>
  <conditionalFormatting sqref="H9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0">
    <cfRule type="containsText" dxfId="60" priority="13" operator="containsText" text="*-">
      <formula>NOT(ISERROR(SEARCH(("*-"),(H10))))</formula>
    </cfRule>
  </conditionalFormatting>
  <conditionalFormatting sqref="H10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1">
    <cfRule type="containsText" dxfId="59" priority="11" operator="containsText" text="*-">
      <formula>NOT(ISERROR(SEARCH(("*-"),(H11))))</formula>
    </cfRule>
  </conditionalFormatting>
  <conditionalFormatting sqref="H11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4">
    <cfRule type="containsText" dxfId="58" priority="9" operator="containsText" text="*-">
      <formula>NOT(ISERROR(SEARCH(("*-"),(H14))))</formula>
    </cfRule>
  </conditionalFormatting>
  <conditionalFormatting sqref="H14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:I23 H24:I27">
    <cfRule type="containsText" dxfId="57" priority="5" operator="containsText" text="*-">
      <formula>NOT(ISERROR(SEARCH(("*-"),(H3))))</formula>
    </cfRule>
  </conditionalFormatting>
  <conditionalFormatting sqref="I3:I23 H24:I27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8:I28">
    <cfRule type="containsText" dxfId="5" priority="3" operator="containsText" text="*-">
      <formula>NOT(ISERROR(SEARCH(("*-"),(H28))))</formula>
    </cfRule>
  </conditionalFormatting>
  <conditionalFormatting sqref="H28:I28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9:I29">
    <cfRule type="containsText" dxfId="4" priority="1" operator="containsText" text="*-">
      <formula>NOT(ISERROR(SEARCH(("*-"),(H29))))</formula>
    </cfRule>
  </conditionalFormatting>
  <conditionalFormatting sqref="H29:I29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44"/>
  <sheetViews>
    <sheetView tabSelected="1" workbookViewId="0">
      <pane xSplit="11" ySplit="2" topLeftCell="L3" activePane="bottomRight" state="frozen"/>
      <selection pane="topRight" activeCell="H1" sqref="H1"/>
      <selection pane="bottomLeft" activeCell="A3" sqref="A3"/>
      <selection pane="bottomRight" activeCell="F35" sqref="F35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6" width="33.6328125" style="4" customWidth="1"/>
    <col min="7" max="8" width="12.6328125" style="4" customWidth="1"/>
    <col min="9" max="10" width="3.6328125" style="4" customWidth="1"/>
    <col min="11" max="11" width="12.6328125" style="4" customWidth="1"/>
  </cols>
  <sheetData>
    <row r="1" spans="1:22" ht="15" customHeight="1" x14ac:dyDescent="0.35">
      <c r="A1" s="30" t="s">
        <v>1</v>
      </c>
      <c r="B1" s="29"/>
      <c r="C1" s="32" t="s">
        <v>2</v>
      </c>
      <c r="D1" s="33"/>
      <c r="E1" s="33"/>
      <c r="F1" s="34"/>
      <c r="G1" s="39" t="s">
        <v>3</v>
      </c>
      <c r="H1" s="40"/>
      <c r="I1" s="43">
        <v>2</v>
      </c>
      <c r="J1" s="42"/>
      <c r="K1" s="2"/>
    </row>
    <row r="2" spans="1:22" ht="15" customHeight="1" x14ac:dyDescent="0.35">
      <c r="A2" s="31"/>
      <c r="B2" s="29" t="s">
        <v>157</v>
      </c>
      <c r="C2" s="6" t="s">
        <v>159</v>
      </c>
      <c r="D2" s="6" t="s">
        <v>161</v>
      </c>
      <c r="E2" s="6" t="s">
        <v>162</v>
      </c>
      <c r="F2" s="6" t="s">
        <v>163</v>
      </c>
      <c r="G2" s="7" t="s">
        <v>24</v>
      </c>
      <c r="H2" s="22" t="s">
        <v>149</v>
      </c>
      <c r="I2" s="6" t="s">
        <v>24</v>
      </c>
      <c r="J2" s="23" t="s">
        <v>149</v>
      </c>
      <c r="K2" s="2"/>
    </row>
    <row r="3" spans="1:22" ht="15" customHeight="1" x14ac:dyDescent="0.35">
      <c r="A3" s="8">
        <v>1999</v>
      </c>
      <c r="B3" s="9" t="s">
        <v>129</v>
      </c>
      <c r="C3" s="21" t="s">
        <v>140</v>
      </c>
      <c r="D3" s="10" t="s">
        <v>8</v>
      </c>
      <c r="E3" s="10" t="s">
        <v>146</v>
      </c>
      <c r="F3" s="10"/>
      <c r="G3" s="19" t="s">
        <v>46</v>
      </c>
      <c r="H3" s="27" t="s">
        <v>0</v>
      </c>
      <c r="I3" s="1" t="s">
        <v>0</v>
      </c>
      <c r="J3" s="1" t="s">
        <v>0</v>
      </c>
      <c r="K3" s="3" t="str">
        <f>IF(OR(AND(I3&gt;1,I3&lt;&gt;"-"),AND(J3&gt;1,J3&lt;&gt;"-")),"Can exchange","")</f>
        <v/>
      </c>
      <c r="M3" s="5"/>
    </row>
    <row r="4" spans="1:22" ht="15" customHeight="1" x14ac:dyDescent="0.35">
      <c r="A4" s="8">
        <v>2000</v>
      </c>
      <c r="B4" s="9" t="s">
        <v>129</v>
      </c>
      <c r="C4" s="21" t="s">
        <v>140</v>
      </c>
      <c r="D4" s="10" t="s">
        <v>8</v>
      </c>
      <c r="E4" s="10" t="s">
        <v>146</v>
      </c>
      <c r="F4" s="10"/>
      <c r="G4" s="11" t="s">
        <v>120</v>
      </c>
      <c r="H4" s="27" t="s">
        <v>0</v>
      </c>
      <c r="I4" s="1">
        <v>2</v>
      </c>
      <c r="J4" s="1" t="s">
        <v>0</v>
      </c>
      <c r="K4" s="3" t="str">
        <f t="shared" ref="K4:K25" si="0">IF(OR(AND(I4&gt;1,I4&lt;&gt;"-"),AND(J4&gt;1,J4&lt;&gt;"-")),"Can exchange","")</f>
        <v>Can exchange</v>
      </c>
      <c r="L4" s="12"/>
      <c r="M4" s="5"/>
    </row>
    <row r="5" spans="1:22" ht="15" customHeight="1" x14ac:dyDescent="0.35">
      <c r="A5" s="8">
        <v>2001</v>
      </c>
      <c r="B5" s="9" t="s">
        <v>129</v>
      </c>
      <c r="C5" s="21" t="s">
        <v>140</v>
      </c>
      <c r="D5" s="10" t="s">
        <v>8</v>
      </c>
      <c r="E5" s="10" t="s">
        <v>146</v>
      </c>
      <c r="F5" s="10"/>
      <c r="G5" s="19" t="s">
        <v>26</v>
      </c>
      <c r="H5" s="27" t="s">
        <v>0</v>
      </c>
      <c r="I5" s="1" t="s">
        <v>0</v>
      </c>
      <c r="J5" s="1" t="s">
        <v>0</v>
      </c>
      <c r="K5" s="3" t="str">
        <f t="shared" si="0"/>
        <v/>
      </c>
    </row>
    <row r="6" spans="1:22" ht="15" customHeight="1" x14ac:dyDescent="0.35">
      <c r="A6" s="8">
        <v>2002</v>
      </c>
      <c r="B6" s="9" t="s">
        <v>129</v>
      </c>
      <c r="C6" s="21" t="s">
        <v>140</v>
      </c>
      <c r="D6" s="10" t="s">
        <v>8</v>
      </c>
      <c r="E6" s="10" t="s">
        <v>146</v>
      </c>
      <c r="F6" s="10"/>
      <c r="G6" s="11" t="s">
        <v>104</v>
      </c>
      <c r="H6" s="27" t="s">
        <v>0</v>
      </c>
      <c r="I6" s="1">
        <v>0</v>
      </c>
      <c r="J6" s="1" t="s">
        <v>0</v>
      </c>
      <c r="K6" s="3" t="str">
        <f t="shared" si="0"/>
        <v/>
      </c>
    </row>
    <row r="7" spans="1:22" ht="15" customHeight="1" x14ac:dyDescent="0.35">
      <c r="A7" s="8">
        <v>2003</v>
      </c>
      <c r="B7" s="9" t="s">
        <v>129</v>
      </c>
      <c r="C7" s="21" t="s">
        <v>140</v>
      </c>
      <c r="D7" s="10" t="s">
        <v>8</v>
      </c>
      <c r="E7" s="10" t="s">
        <v>146</v>
      </c>
      <c r="F7" s="10"/>
      <c r="G7" s="11" t="s">
        <v>62</v>
      </c>
      <c r="H7" s="27" t="s">
        <v>0</v>
      </c>
      <c r="I7" s="1">
        <v>0</v>
      </c>
      <c r="J7" s="1" t="s">
        <v>0</v>
      </c>
      <c r="K7" s="3" t="str">
        <f t="shared" si="0"/>
        <v/>
      </c>
    </row>
    <row r="8" spans="1:22" ht="15" customHeight="1" x14ac:dyDescent="0.35">
      <c r="A8" s="8">
        <v>2004</v>
      </c>
      <c r="B8" s="9" t="s">
        <v>129</v>
      </c>
      <c r="C8" s="21" t="s">
        <v>140</v>
      </c>
      <c r="D8" s="10" t="s">
        <v>8</v>
      </c>
      <c r="E8" s="10" t="s">
        <v>146</v>
      </c>
      <c r="F8" s="10"/>
      <c r="G8" s="11" t="s">
        <v>121</v>
      </c>
      <c r="H8" s="27" t="s">
        <v>0</v>
      </c>
      <c r="I8" s="1">
        <v>0</v>
      </c>
      <c r="J8" s="1" t="s">
        <v>0</v>
      </c>
      <c r="K8" s="3" t="str">
        <f t="shared" si="0"/>
        <v/>
      </c>
    </row>
    <row r="9" spans="1:22" ht="15" customHeight="1" x14ac:dyDescent="0.35">
      <c r="A9" s="8">
        <v>2005</v>
      </c>
      <c r="B9" s="9" t="s">
        <v>129</v>
      </c>
      <c r="C9" s="21" t="s">
        <v>140</v>
      </c>
      <c r="D9" s="10" t="s">
        <v>8</v>
      </c>
      <c r="E9" s="10" t="s">
        <v>146</v>
      </c>
      <c r="F9" s="10"/>
      <c r="G9" s="11" t="s">
        <v>122</v>
      </c>
      <c r="H9" s="27" t="s">
        <v>0</v>
      </c>
      <c r="I9" s="1">
        <v>0</v>
      </c>
      <c r="J9" s="1" t="s">
        <v>0</v>
      </c>
      <c r="K9" s="3" t="str">
        <f t="shared" si="0"/>
        <v/>
      </c>
    </row>
    <row r="10" spans="1:22" ht="15" customHeight="1" x14ac:dyDescent="0.35">
      <c r="A10" s="8">
        <v>2006</v>
      </c>
      <c r="B10" s="9" t="s">
        <v>129</v>
      </c>
      <c r="C10" s="21" t="s">
        <v>140</v>
      </c>
      <c r="D10" s="10" t="s">
        <v>8</v>
      </c>
      <c r="E10" s="10" t="s">
        <v>146</v>
      </c>
      <c r="F10" s="10"/>
      <c r="G10" s="11" t="s">
        <v>123</v>
      </c>
      <c r="H10" s="27" t="s">
        <v>0</v>
      </c>
      <c r="I10" s="1">
        <v>0</v>
      </c>
      <c r="J10" s="1" t="s">
        <v>0</v>
      </c>
      <c r="K10" s="3" t="str">
        <f t="shared" si="0"/>
        <v/>
      </c>
    </row>
    <row r="11" spans="1:22" ht="15" customHeight="1" x14ac:dyDescent="0.35">
      <c r="A11" s="8">
        <v>2007</v>
      </c>
      <c r="B11" s="9" t="s">
        <v>129</v>
      </c>
      <c r="C11" s="21" t="s">
        <v>140</v>
      </c>
      <c r="D11" s="10" t="s">
        <v>9</v>
      </c>
      <c r="E11" s="10" t="s">
        <v>146</v>
      </c>
      <c r="F11" s="10"/>
      <c r="G11" s="11" t="s">
        <v>124</v>
      </c>
      <c r="H11" s="27" t="s">
        <v>0</v>
      </c>
      <c r="I11" s="1">
        <v>0</v>
      </c>
      <c r="J11" s="1" t="s">
        <v>0</v>
      </c>
      <c r="K11" s="3" t="str">
        <f t="shared" si="0"/>
        <v/>
      </c>
    </row>
    <row r="12" spans="1:22" ht="15" customHeight="1" x14ac:dyDescent="0.35">
      <c r="A12" s="8">
        <v>2008</v>
      </c>
      <c r="B12" s="9" t="s">
        <v>130</v>
      </c>
      <c r="C12" s="10" t="s">
        <v>141</v>
      </c>
      <c r="D12" s="10" t="s">
        <v>9</v>
      </c>
      <c r="E12" s="10" t="s">
        <v>142</v>
      </c>
      <c r="F12" s="10" t="s">
        <v>138</v>
      </c>
      <c r="G12" s="11" t="s">
        <v>125</v>
      </c>
      <c r="H12" s="27" t="s">
        <v>0</v>
      </c>
      <c r="I12" s="1">
        <v>1</v>
      </c>
      <c r="J12" s="1" t="s">
        <v>0</v>
      </c>
      <c r="K12" s="3" t="str">
        <f t="shared" si="0"/>
        <v/>
      </c>
    </row>
    <row r="13" spans="1:22" ht="15" customHeight="1" x14ac:dyDescent="0.35">
      <c r="A13" s="8">
        <v>2008</v>
      </c>
      <c r="B13" s="9" t="s">
        <v>130</v>
      </c>
      <c r="C13" s="10" t="s">
        <v>141</v>
      </c>
      <c r="D13" s="10" t="s">
        <v>9</v>
      </c>
      <c r="E13" s="10" t="s">
        <v>142</v>
      </c>
      <c r="F13" s="10" t="s">
        <v>139</v>
      </c>
      <c r="G13" s="11" t="s">
        <v>135</v>
      </c>
      <c r="H13" s="27" t="s">
        <v>0</v>
      </c>
      <c r="I13" s="1">
        <v>0</v>
      </c>
      <c r="J13" s="1" t="s">
        <v>0</v>
      </c>
      <c r="K13" s="3" t="str">
        <f t="shared" si="0"/>
        <v/>
      </c>
    </row>
    <row r="14" spans="1:22" ht="15" customHeight="1" x14ac:dyDescent="0.35">
      <c r="A14" s="8">
        <v>2009</v>
      </c>
      <c r="B14" s="9" t="s">
        <v>129</v>
      </c>
      <c r="C14" s="10" t="s">
        <v>141</v>
      </c>
      <c r="D14" s="10" t="s">
        <v>9</v>
      </c>
      <c r="E14" s="10" t="s">
        <v>142</v>
      </c>
      <c r="F14" s="10"/>
      <c r="G14" s="11" t="s">
        <v>52</v>
      </c>
      <c r="H14" s="27" t="s">
        <v>0</v>
      </c>
      <c r="I14" s="1">
        <v>0</v>
      </c>
      <c r="J14" s="1" t="s">
        <v>0</v>
      </c>
      <c r="K14" s="3" t="str">
        <f t="shared" si="0"/>
        <v/>
      </c>
    </row>
    <row r="15" spans="1:22" ht="15" customHeight="1" x14ac:dyDescent="0.35">
      <c r="A15" s="8">
        <v>2010</v>
      </c>
      <c r="B15" s="9" t="s">
        <v>129</v>
      </c>
      <c r="C15" s="10" t="s">
        <v>141</v>
      </c>
      <c r="D15" s="10" t="s">
        <v>9</v>
      </c>
      <c r="E15" s="10" t="s">
        <v>143</v>
      </c>
      <c r="F15" s="10"/>
      <c r="G15" s="11" t="s">
        <v>109</v>
      </c>
      <c r="H15" s="27" t="s">
        <v>0</v>
      </c>
      <c r="I15" s="1">
        <v>0</v>
      </c>
      <c r="J15" s="1" t="s">
        <v>0</v>
      </c>
      <c r="K15" s="3" t="str">
        <f t="shared" si="0"/>
        <v/>
      </c>
    </row>
    <row r="16" spans="1:22" ht="15" customHeight="1" x14ac:dyDescent="0.35">
      <c r="A16" s="8">
        <v>2011</v>
      </c>
      <c r="B16" s="9" t="s">
        <v>129</v>
      </c>
      <c r="C16" s="10" t="s">
        <v>141</v>
      </c>
      <c r="D16" s="10" t="s">
        <v>9</v>
      </c>
      <c r="E16" s="10" t="s">
        <v>143</v>
      </c>
      <c r="F16" s="10"/>
      <c r="G16" s="11" t="s">
        <v>126</v>
      </c>
      <c r="H16" s="27" t="s">
        <v>0</v>
      </c>
      <c r="I16" s="1">
        <v>0</v>
      </c>
      <c r="J16" s="1" t="s">
        <v>0</v>
      </c>
      <c r="K16" s="3" t="str">
        <f t="shared" si="0"/>
        <v/>
      </c>
      <c r="U16" s="28"/>
      <c r="V16" s="28"/>
    </row>
    <row r="17" spans="1:22" ht="15" customHeight="1" x14ac:dyDescent="0.35">
      <c r="A17" s="8">
        <v>2012</v>
      </c>
      <c r="B17" s="9" t="s">
        <v>129</v>
      </c>
      <c r="C17" s="10" t="s">
        <v>141</v>
      </c>
      <c r="D17" s="10" t="s">
        <v>9</v>
      </c>
      <c r="E17" s="10" t="s">
        <v>143</v>
      </c>
      <c r="F17" s="10"/>
      <c r="G17" s="19" t="s">
        <v>127</v>
      </c>
      <c r="H17" s="27" t="s">
        <v>0</v>
      </c>
      <c r="I17" s="1" t="s">
        <v>0</v>
      </c>
      <c r="J17" s="1" t="s">
        <v>0</v>
      </c>
      <c r="K17" s="3" t="str">
        <f t="shared" si="0"/>
        <v/>
      </c>
    </row>
    <row r="18" spans="1:22" ht="15" customHeight="1" x14ac:dyDescent="0.35">
      <c r="A18" s="8">
        <v>2013</v>
      </c>
      <c r="B18" s="9" t="s">
        <v>129</v>
      </c>
      <c r="C18" s="10" t="s">
        <v>141</v>
      </c>
      <c r="D18" s="10" t="s">
        <v>9</v>
      </c>
      <c r="E18" s="10" t="s">
        <v>144</v>
      </c>
      <c r="F18" s="10"/>
      <c r="G18" s="19" t="s">
        <v>100</v>
      </c>
      <c r="H18" s="27" t="s">
        <v>0</v>
      </c>
      <c r="I18" s="1" t="s">
        <v>0</v>
      </c>
      <c r="J18" s="1" t="s">
        <v>0</v>
      </c>
      <c r="K18" s="3" t="str">
        <f t="shared" si="0"/>
        <v/>
      </c>
    </row>
    <row r="19" spans="1:22" ht="15" customHeight="1" x14ac:dyDescent="0.35">
      <c r="A19" s="8">
        <v>2014</v>
      </c>
      <c r="B19" s="9" t="s">
        <v>131</v>
      </c>
      <c r="C19" s="10" t="s">
        <v>141</v>
      </c>
      <c r="D19" s="10" t="s">
        <v>9</v>
      </c>
      <c r="E19" s="10" t="s">
        <v>144</v>
      </c>
      <c r="F19" s="10"/>
      <c r="G19" s="19" t="s">
        <v>40</v>
      </c>
      <c r="H19" s="27" t="s">
        <v>0</v>
      </c>
      <c r="I19" s="1" t="s">
        <v>0</v>
      </c>
      <c r="J19" s="1" t="s">
        <v>0</v>
      </c>
      <c r="K19" s="3" t="str">
        <f t="shared" si="0"/>
        <v/>
      </c>
    </row>
    <row r="20" spans="1:22" ht="15" customHeight="1" x14ac:dyDescent="0.35">
      <c r="A20" s="8">
        <v>2015</v>
      </c>
      <c r="B20" s="9" t="s">
        <v>131</v>
      </c>
      <c r="C20" s="10" t="s">
        <v>141</v>
      </c>
      <c r="D20" s="10" t="s">
        <v>9</v>
      </c>
      <c r="E20" s="10" t="s">
        <v>144</v>
      </c>
      <c r="F20" s="10"/>
      <c r="G20" s="19" t="s">
        <v>101</v>
      </c>
      <c r="H20" s="27" t="s">
        <v>0</v>
      </c>
      <c r="I20" s="1" t="s">
        <v>0</v>
      </c>
      <c r="J20" s="1" t="s">
        <v>0</v>
      </c>
      <c r="K20" s="3" t="str">
        <f t="shared" si="0"/>
        <v/>
      </c>
    </row>
    <row r="21" spans="1:22" ht="15" customHeight="1" x14ac:dyDescent="0.35">
      <c r="A21" s="8">
        <v>2016</v>
      </c>
      <c r="B21" s="9" t="s">
        <v>131</v>
      </c>
      <c r="C21" s="10" t="s">
        <v>141</v>
      </c>
      <c r="D21" s="10" t="s">
        <v>9</v>
      </c>
      <c r="E21" s="10" t="s">
        <v>144</v>
      </c>
      <c r="F21" s="10"/>
      <c r="G21" s="19" t="s">
        <v>86</v>
      </c>
      <c r="H21" s="27" t="s">
        <v>0</v>
      </c>
      <c r="I21" s="1" t="s">
        <v>0</v>
      </c>
      <c r="J21" s="1" t="s">
        <v>0</v>
      </c>
      <c r="K21" s="3" t="str">
        <f t="shared" si="0"/>
        <v/>
      </c>
    </row>
    <row r="22" spans="1:22" ht="15" customHeight="1" x14ac:dyDescent="0.35">
      <c r="A22" s="8">
        <v>2017</v>
      </c>
      <c r="B22" s="9" t="s">
        <v>131</v>
      </c>
      <c r="C22" s="10" t="s">
        <v>141</v>
      </c>
      <c r="D22" s="10" t="s">
        <v>9</v>
      </c>
      <c r="E22" s="10" t="s">
        <v>145</v>
      </c>
      <c r="F22" s="10"/>
      <c r="G22" s="19" t="s">
        <v>60</v>
      </c>
      <c r="H22" s="27" t="s">
        <v>0</v>
      </c>
      <c r="I22" s="1" t="s">
        <v>0</v>
      </c>
      <c r="J22" s="1" t="s">
        <v>0</v>
      </c>
      <c r="K22" s="3" t="str">
        <f t="shared" si="0"/>
        <v/>
      </c>
    </row>
    <row r="23" spans="1:22" ht="15" customHeight="1" x14ac:dyDescent="0.35">
      <c r="A23" s="8">
        <v>2018</v>
      </c>
      <c r="B23" s="9" t="s">
        <v>131</v>
      </c>
      <c r="C23" s="10" t="s">
        <v>147</v>
      </c>
      <c r="D23" s="10" t="s">
        <v>9</v>
      </c>
      <c r="E23" s="10" t="s">
        <v>145</v>
      </c>
      <c r="F23" s="10"/>
      <c r="G23" s="27" t="s">
        <v>0</v>
      </c>
      <c r="H23" s="19" t="s">
        <v>44</v>
      </c>
      <c r="I23" s="1" t="s">
        <v>0</v>
      </c>
      <c r="J23" s="1" t="s">
        <v>0</v>
      </c>
      <c r="K23" s="3" t="str">
        <f t="shared" si="0"/>
        <v/>
      </c>
    </row>
    <row r="24" spans="1:22" ht="15" customHeight="1" x14ac:dyDescent="0.35">
      <c r="A24" s="8">
        <v>2019</v>
      </c>
      <c r="B24" s="9" t="s">
        <v>131</v>
      </c>
      <c r="C24" s="10" t="s">
        <v>147</v>
      </c>
      <c r="D24" s="10" t="s">
        <v>9</v>
      </c>
      <c r="E24" s="10" t="s">
        <v>145</v>
      </c>
      <c r="F24" s="10"/>
      <c r="G24" s="27" t="s">
        <v>0</v>
      </c>
      <c r="H24" s="11" t="s">
        <v>128</v>
      </c>
      <c r="I24" s="1" t="s">
        <v>0</v>
      </c>
      <c r="J24" s="1">
        <v>0</v>
      </c>
      <c r="K24" s="3" t="str">
        <f t="shared" si="0"/>
        <v/>
      </c>
      <c r="T24" s="28"/>
      <c r="U24" s="28"/>
    </row>
    <row r="25" spans="1:22" ht="15" customHeight="1" x14ac:dyDescent="0.35">
      <c r="A25" s="8">
        <v>2020</v>
      </c>
      <c r="B25" s="9" t="s">
        <v>131</v>
      </c>
      <c r="C25" s="10" t="s">
        <v>147</v>
      </c>
      <c r="D25" s="10" t="s">
        <v>9</v>
      </c>
      <c r="E25" s="10" t="s">
        <v>145</v>
      </c>
      <c r="F25" s="10"/>
      <c r="G25" s="27" t="s">
        <v>0</v>
      </c>
      <c r="H25" s="26" t="s">
        <v>148</v>
      </c>
      <c r="I25" s="1" t="s">
        <v>0</v>
      </c>
      <c r="J25" s="1" t="s">
        <v>0</v>
      </c>
      <c r="K25" s="3" t="str">
        <f t="shared" si="0"/>
        <v/>
      </c>
    </row>
    <row r="26" spans="1:22" ht="15" customHeight="1" x14ac:dyDescent="0.35">
      <c r="A26" s="8">
        <v>2021</v>
      </c>
      <c r="B26" s="9" t="s">
        <v>131</v>
      </c>
      <c r="C26" s="10" t="s">
        <v>147</v>
      </c>
      <c r="D26" s="10" t="s">
        <v>9</v>
      </c>
      <c r="E26" s="10" t="s">
        <v>145</v>
      </c>
      <c r="F26" s="10"/>
      <c r="G26" s="27" t="s">
        <v>0</v>
      </c>
      <c r="H26" s="26" t="s">
        <v>151</v>
      </c>
      <c r="I26" s="1" t="s">
        <v>0</v>
      </c>
      <c r="J26" s="1" t="s">
        <v>0</v>
      </c>
      <c r="K26" s="3" t="str">
        <f t="shared" ref="K26" si="1">IF(OR(AND(I26&gt;1,I26&lt;&gt;"-"),AND(J26&gt;1,J26&lt;&gt;"-")),"Can exchange","")</f>
        <v/>
      </c>
    </row>
    <row r="27" spans="1:22" ht="15" customHeight="1" x14ac:dyDescent="0.35">
      <c r="A27" s="8">
        <v>2022</v>
      </c>
      <c r="B27" s="9" t="s">
        <v>131</v>
      </c>
      <c r="C27" s="10" t="s">
        <v>147</v>
      </c>
      <c r="D27" s="10" t="s">
        <v>9</v>
      </c>
      <c r="E27" s="10" t="s">
        <v>145</v>
      </c>
      <c r="F27" s="10"/>
      <c r="G27" s="27" t="s">
        <v>0</v>
      </c>
      <c r="H27" s="26" t="s">
        <v>152</v>
      </c>
      <c r="I27" s="1" t="s">
        <v>0</v>
      </c>
      <c r="J27" s="1" t="s">
        <v>0</v>
      </c>
      <c r="K27" s="3" t="str">
        <f t="shared" ref="K27:K28" si="2">IF(OR(AND(I27&gt;1,I27&lt;&gt;"-"),AND(J27&gt;1,J27&lt;&gt;"-")),"Can exchange","")</f>
        <v/>
      </c>
    </row>
    <row r="28" spans="1:22" ht="15" customHeight="1" x14ac:dyDescent="0.35">
      <c r="A28" s="8">
        <v>2023</v>
      </c>
      <c r="B28" s="9" t="s">
        <v>131</v>
      </c>
      <c r="C28" s="10" t="s">
        <v>147</v>
      </c>
      <c r="D28" s="10" t="s">
        <v>9</v>
      </c>
      <c r="E28" s="10" t="s">
        <v>150</v>
      </c>
      <c r="F28" s="10"/>
      <c r="G28" s="27" t="s">
        <v>0</v>
      </c>
      <c r="H28" s="26" t="s">
        <v>166</v>
      </c>
      <c r="I28" s="1" t="s">
        <v>0</v>
      </c>
      <c r="J28" s="1" t="s">
        <v>0</v>
      </c>
      <c r="K28" s="3" t="str">
        <f t="shared" si="2"/>
        <v/>
      </c>
    </row>
    <row r="29" spans="1:22" ht="15" customHeight="1" x14ac:dyDescent="0.35">
      <c r="A29" s="8">
        <v>2024</v>
      </c>
      <c r="B29" s="9" t="s">
        <v>131</v>
      </c>
      <c r="C29" s="10" t="s">
        <v>147</v>
      </c>
      <c r="D29" s="10" t="s">
        <v>9</v>
      </c>
      <c r="E29" s="10" t="s">
        <v>150</v>
      </c>
      <c r="F29" s="10"/>
      <c r="G29" s="27" t="s">
        <v>0</v>
      </c>
      <c r="H29" s="26" t="s">
        <v>165</v>
      </c>
      <c r="I29" s="1" t="s">
        <v>0</v>
      </c>
      <c r="J29" s="1" t="s">
        <v>0</v>
      </c>
      <c r="K29" s="3" t="str">
        <f t="shared" ref="K29:K30" si="3">IF(OR(AND(I29&gt;1,I29&lt;&gt;"-"),AND(J29&gt;1,J29&lt;&gt;"-")),"Can exchange","")</f>
        <v/>
      </c>
    </row>
    <row r="30" spans="1:22" ht="15" customHeight="1" x14ac:dyDescent="0.35">
      <c r="A30" s="8">
        <v>2025</v>
      </c>
      <c r="B30" s="9" t="s">
        <v>131</v>
      </c>
      <c r="C30" s="10" t="s">
        <v>147</v>
      </c>
      <c r="D30" s="10" t="s">
        <v>9</v>
      </c>
      <c r="E30" s="10" t="s">
        <v>150</v>
      </c>
      <c r="F30" s="10"/>
      <c r="G30" s="27" t="s">
        <v>0</v>
      </c>
      <c r="H30" s="26"/>
      <c r="I30" s="1" t="s">
        <v>0</v>
      </c>
      <c r="J30" s="1" t="s">
        <v>0</v>
      </c>
      <c r="K30" s="3" t="str">
        <f t="shared" si="3"/>
        <v/>
      </c>
    </row>
    <row r="32" spans="1:22" ht="15" customHeight="1" x14ac:dyDescent="0.35">
      <c r="U32" s="28"/>
      <c r="V32" s="28"/>
    </row>
    <row r="44" spans="20:21" ht="15" customHeight="1" x14ac:dyDescent="0.35">
      <c r="T44" s="28"/>
      <c r="U44" s="28"/>
    </row>
  </sheetData>
  <autoFilter ref="B2:H2" xr:uid="{00000000-0001-0000-0700-000000000000}"/>
  <mergeCells count="4">
    <mergeCell ref="A1:A2"/>
    <mergeCell ref="C1:F1"/>
    <mergeCell ref="G1:H1"/>
    <mergeCell ref="I1:J1"/>
  </mergeCells>
  <phoneticPr fontId="9" type="noConversion"/>
  <conditionalFormatting sqref="I17:I22 I23:J23">
    <cfRule type="containsText" dxfId="56" priority="23" operator="containsText" text="*-">
      <formula>NOT(ISERROR(SEARCH(("*-"),(I17))))</formula>
    </cfRule>
  </conditionalFormatting>
  <conditionalFormatting sqref="I17:I22 I23:J23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 I6:I12 I14:I16 J24">
    <cfRule type="containsText" dxfId="55" priority="29" operator="containsText" text="*-">
      <formula>NOT(ISERROR(SEARCH(("*-"),(I4))))</formula>
    </cfRule>
  </conditionalFormatting>
  <conditionalFormatting sqref="I6:I12 I4 I14:I16 J24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:J3 J4:J22">
    <cfRule type="containsText" dxfId="54" priority="27" operator="containsText" text="*-">
      <formula>NOT(ISERROR(SEARCH(("*-"),(I3))))</formula>
    </cfRule>
  </conditionalFormatting>
  <conditionalFormatting sqref="I3:J3 J4:J22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">
    <cfRule type="containsText" dxfId="53" priority="25" operator="containsText" text="*-">
      <formula>NOT(ISERROR(SEARCH(("*-"),(I5))))</formula>
    </cfRule>
  </conditionalFormatting>
  <conditionalFormatting sqref="I5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3">
    <cfRule type="containsText" dxfId="52" priority="21" operator="containsText" text="*-">
      <formula>NOT(ISERROR(SEARCH(("*-"),(I13))))</formula>
    </cfRule>
  </conditionalFormatting>
  <conditionalFormatting sqref="I13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5">
    <cfRule type="containsText" dxfId="51" priority="17" operator="containsText" text="*-">
      <formula>NOT(ISERROR(SEARCH(("*-"),(I25))))</formula>
    </cfRule>
  </conditionalFormatting>
  <conditionalFormatting sqref="I25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5">
    <cfRule type="containsText" dxfId="50" priority="15" operator="containsText" text="*-">
      <formula>NOT(ISERROR(SEARCH(("*-"),(J25))))</formula>
    </cfRule>
  </conditionalFormatting>
  <conditionalFormatting sqref="J25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4">
    <cfRule type="containsText" dxfId="49" priority="13" operator="containsText" text="*-">
      <formula>NOT(ISERROR(SEARCH(("*-"),(I24))))</formula>
    </cfRule>
  </conditionalFormatting>
  <conditionalFormatting sqref="I24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6:I28">
    <cfRule type="containsText" dxfId="48" priority="11" operator="containsText" text="*-">
      <formula>NOT(ISERROR(SEARCH(("*-"),(I26))))</formula>
    </cfRule>
  </conditionalFormatting>
  <conditionalFormatting sqref="I26:I28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6:J28">
    <cfRule type="containsText" dxfId="47" priority="9" operator="containsText" text="*-">
      <formula>NOT(ISERROR(SEARCH(("*-"),(J26))))</formula>
    </cfRule>
  </conditionalFormatting>
  <conditionalFormatting sqref="J26:J28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9">
    <cfRule type="containsText" dxfId="3" priority="7" operator="containsText" text="*-">
      <formula>NOT(ISERROR(SEARCH(("*-"),(I29))))</formula>
    </cfRule>
  </conditionalFormatting>
  <conditionalFormatting sqref="I29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9">
    <cfRule type="containsText" dxfId="2" priority="5" operator="containsText" text="*-">
      <formula>NOT(ISERROR(SEARCH(("*-"),(J29))))</formula>
    </cfRule>
  </conditionalFormatting>
  <conditionalFormatting sqref="J29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0">
    <cfRule type="containsText" dxfId="1" priority="3" operator="containsText" text="*-">
      <formula>NOT(ISERROR(SEARCH(("*-"),(I30))))</formula>
    </cfRule>
  </conditionalFormatting>
  <conditionalFormatting sqref="I30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0">
    <cfRule type="containsText" dxfId="0" priority="1" operator="containsText" text="*-">
      <formula>NOT(ISERROR(SEARCH(("*-"),(J30))))</formula>
    </cfRule>
  </conditionalFormatting>
  <conditionalFormatting sqref="J30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6" sqref="B6"/>
    </sheetView>
  </sheetViews>
  <sheetFormatPr defaultRowHeight="15" customHeight="1" x14ac:dyDescent="0.35"/>
  <cols>
    <col min="1" max="1" width="4.81640625" customWidth="1"/>
    <col min="2" max="2" width="16.26953125" customWidth="1"/>
    <col min="3" max="3" width="61.81640625" customWidth="1"/>
  </cols>
  <sheetData>
    <row r="1" spans="1:3" ht="15" customHeight="1" x14ac:dyDescent="0.35">
      <c r="A1" s="13" t="s">
        <v>13</v>
      </c>
      <c r="B1" s="14" t="s">
        <v>14</v>
      </c>
      <c r="C1" s="15" t="s">
        <v>15</v>
      </c>
    </row>
    <row r="2" spans="1:3" ht="15" customHeight="1" x14ac:dyDescent="0.35">
      <c r="A2" s="16">
        <v>1</v>
      </c>
      <c r="B2" s="17" t="s">
        <v>16</v>
      </c>
      <c r="C2" s="18" t="s">
        <v>17</v>
      </c>
    </row>
    <row r="3" spans="1:3" ht="15" customHeight="1" x14ac:dyDescent="0.35">
      <c r="A3" s="16">
        <v>2</v>
      </c>
      <c r="B3" s="17" t="s">
        <v>19</v>
      </c>
      <c r="C3" s="18" t="s">
        <v>18</v>
      </c>
    </row>
    <row r="4" spans="1:3" ht="15" customHeight="1" x14ac:dyDescent="0.35">
      <c r="A4" s="16">
        <v>3</v>
      </c>
      <c r="B4" s="17" t="s">
        <v>20</v>
      </c>
      <c r="C4" s="18" t="s">
        <v>21</v>
      </c>
    </row>
    <row r="5" spans="1:3" ht="15" customHeight="1" x14ac:dyDescent="0.35">
      <c r="A5" s="16">
        <v>4</v>
      </c>
      <c r="B5" s="17" t="s">
        <v>22</v>
      </c>
      <c r="C5" s="18" t="s">
        <v>23</v>
      </c>
    </row>
    <row r="6" spans="1:3" ht="15" customHeight="1" x14ac:dyDescent="0.35">
      <c r="A6" s="16">
        <v>5</v>
      </c>
      <c r="B6" s="17" t="s">
        <v>132</v>
      </c>
      <c r="C6" s="20" t="s">
        <v>133</v>
      </c>
    </row>
    <row r="7" spans="1:3" ht="15" customHeight="1" x14ac:dyDescent="0.35">
      <c r="A7" s="16">
        <v>6</v>
      </c>
      <c r="B7" s="17" t="s">
        <v>132</v>
      </c>
      <c r="C7" s="20" t="s">
        <v>134</v>
      </c>
    </row>
  </sheetData>
  <hyperlinks>
    <hyperlink ref="B2" r:id="rId1" xr:uid="{00000000-0004-0000-0800-000000000000}"/>
    <hyperlink ref="B3" r:id="rId2" xr:uid="{00000000-0004-0000-0800-000001000000}"/>
    <hyperlink ref="B4" r:id="rId3" xr:uid="{00000000-0004-0000-0800-000002000000}"/>
    <hyperlink ref="B5" r:id="rId4" xr:uid="{00000000-0004-0000-0800-000003000000}"/>
    <hyperlink ref="B7" r:id="rId5" xr:uid="{00000000-0004-0000-0800-000004000000}"/>
    <hyperlink ref="B6" r:id="rId6" xr:uid="{00000000-0004-0000-0800-000005000000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1cent</vt:lpstr>
      <vt:lpstr>2cents</vt:lpstr>
      <vt:lpstr>5cents</vt:lpstr>
      <vt:lpstr>10cents</vt:lpstr>
      <vt:lpstr>20cents</vt:lpstr>
      <vt:lpstr>50cents</vt:lpstr>
      <vt:lpstr>1€</vt:lpstr>
      <vt:lpstr>2€</vt:lpstr>
      <vt:lpstr>Links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Алексей Илюшин</cp:lastModifiedBy>
  <dcterms:created xsi:type="dcterms:W3CDTF">2019-12-22T17:08:36Z</dcterms:created>
  <dcterms:modified xsi:type="dcterms:W3CDTF">2026-02-12T09:03:35Z</dcterms:modified>
</cp:coreProperties>
</file>