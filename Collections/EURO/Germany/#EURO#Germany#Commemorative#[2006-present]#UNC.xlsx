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Germany\"/>
    </mc:Choice>
  </mc:AlternateContent>
  <xr:revisionPtr revIDLastSave="0" documentId="13_ncr:1_{7E5E459D-D9E7-4C79-9267-553ECB24C20A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2€" sheetId="1" r:id="rId1"/>
    <sheet name="Links" sheetId="2" r:id="rId2"/>
  </sheets>
  <definedNames>
    <definedName name="_xlnm._FilterDatabase" localSheetId="0" hidden="1">'2€'!$B$2:$J$2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8" i="1" l="1"/>
  <c r="Q37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F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H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I2" authorId="0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J2" authorId="0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  <comment ref="K2" authorId="0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Staatliche Münze Berlin (Berlin Mint)</t>
        </r>
      </text>
    </comment>
    <comment ref="L2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Bayerisches Hauptmünzamt
(Munich mint)</t>
        </r>
      </text>
    </comment>
    <comment ref="M2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Staatliche Münzen Baden-Württemberg 
(Stuttgart mint)</t>
        </r>
      </text>
    </comment>
    <comment ref="N2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Staatliche Münze Karlsruhe
(Karlsruhe mint)</t>
        </r>
      </text>
    </comment>
    <comment ref="O2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Hamburgische Münze
(Hamburg mint)</t>
        </r>
      </text>
    </comment>
  </commentList>
</comments>
</file>

<file path=xl/sharedStrings.xml><?xml version="1.0" encoding="utf-8"?>
<sst xmlns="http://schemas.openxmlformats.org/spreadsheetml/2006/main" count="360" uniqueCount="219">
  <si>
    <t>Year</t>
  </si>
  <si>
    <t>Type</t>
  </si>
  <si>
    <t>Mintage</t>
  </si>
  <si>
    <t>2€</t>
  </si>
  <si>
    <t>50th Anniversary - Signing of the Treaty of Rome</t>
  </si>
  <si>
    <t>Ten years of Economic and Monetary Union (EMU) and the birth of the euro</t>
  </si>
  <si>
    <t>10 Years of Euro Cash</t>
  </si>
  <si>
    <t>30th Anniversary - European Union flag</t>
  </si>
  <si>
    <t>№</t>
  </si>
  <si>
    <t>euro-coins</t>
  </si>
  <si>
    <t>wiki</t>
  </si>
  <si>
    <t>skopil</t>
  </si>
  <si>
    <t>Link</t>
  </si>
  <si>
    <t>Description (single table, table set, mintage, prices):</t>
  </si>
  <si>
    <t>Low convenience single table with mintages</t>
  </si>
  <si>
    <t>en.ucoin</t>
  </si>
  <si>
    <t>Low convenience set of tables with mintages</t>
  </si>
  <si>
    <t>Low convenience set of tables with photos</t>
  </si>
  <si>
    <t>Low convenience single table with varieties and mintages and photos</t>
  </si>
  <si>
    <t>A</t>
  </si>
  <si>
    <t>D</t>
  </si>
  <si>
    <t>F</t>
  </si>
  <si>
    <t>G</t>
  </si>
  <si>
    <t>J</t>
  </si>
  <si>
    <t>6.283.150</t>
  </si>
  <si>
    <t>6.583.120</t>
  </si>
  <si>
    <t>7.483.120</t>
  </si>
  <si>
    <t>4.483.120</t>
  </si>
  <si>
    <t>1.313.150</t>
  </si>
  <si>
    <t>12.113.120</t>
  </si>
  <si>
    <t>12.123.120</t>
  </si>
  <si>
    <t>4.473.120</t>
  </si>
  <si>
    <t>1.343.120</t>
  </si>
  <si>
    <t>1.173.150</t>
  </si>
  <si>
    <t>14.673.120</t>
  </si>
  <si>
    <t>8.173.120</t>
  </si>
  <si>
    <t>5.173.120</t>
  </si>
  <si>
    <t>1.678.120</t>
  </si>
  <si>
    <t>1.238.150</t>
  </si>
  <si>
    <t>9.132.620</t>
  </si>
  <si>
    <t>9.832.620</t>
  </si>
  <si>
    <t>4.432.620</t>
  </si>
  <si>
    <t>6.542.620</t>
  </si>
  <si>
    <t>6.201.650</t>
  </si>
  <si>
    <t>6.489.120</t>
  </si>
  <si>
    <t>7.389.120</t>
  </si>
  <si>
    <t>4.389.120</t>
  </si>
  <si>
    <t>6.126.650</t>
  </si>
  <si>
    <t>6.414.120</t>
  </si>
  <si>
    <t>7.314.120</t>
  </si>
  <si>
    <t>4.314.120</t>
  </si>
  <si>
    <t>6.194.750</t>
  </si>
  <si>
    <t>6.482.720</t>
  </si>
  <si>
    <t>7.382.720</t>
  </si>
  <si>
    <t>4.382.720</t>
  </si>
  <si>
    <t>6.196.000</t>
  </si>
  <si>
    <t>6.484.500</t>
  </si>
  <si>
    <t>7.384.500</t>
  </si>
  <si>
    <t>4.384.500</t>
  </si>
  <si>
    <t>6.189.600</t>
  </si>
  <si>
    <t>6.475.200</t>
  </si>
  <si>
    <t>7.375.200</t>
  </si>
  <si>
    <t>4.375.200</t>
  </si>
  <si>
    <t>6.142.600</t>
  </si>
  <si>
    <t>6.428.200</t>
  </si>
  <si>
    <t>7.328.200</t>
  </si>
  <si>
    <t>4.328.200</t>
  </si>
  <si>
    <t>2.327.500</t>
  </si>
  <si>
    <t>2.426.100</t>
  </si>
  <si>
    <t>2.756.100</t>
  </si>
  <si>
    <t>1.656.100</t>
  </si>
  <si>
    <t>6.179.500</t>
  </si>
  <si>
    <t>6.468.100</t>
  </si>
  <si>
    <t>7.368.100</t>
  </si>
  <si>
    <t>4.368.100</t>
  </si>
  <si>
    <t>6.169.000</t>
  </si>
  <si>
    <t>6.457.000</t>
  </si>
  <si>
    <t>7.357.000</t>
  </si>
  <si>
    <t>4.357.000</t>
  </si>
  <si>
    <t>6.163.800</t>
  </si>
  <si>
    <t>6.450.825</t>
  </si>
  <si>
    <t>7.350.825</t>
  </si>
  <si>
    <t>4.350.825</t>
  </si>
  <si>
    <t>6.113.800</t>
  </si>
  <si>
    <t>6.400.825</t>
  </si>
  <si>
    <t>7.300.825</t>
  </si>
  <si>
    <t>4.300.825</t>
  </si>
  <si>
    <t>6.025.000</t>
  </si>
  <si>
    <t>6.325.000</t>
  </si>
  <si>
    <t>7.225.000</t>
  </si>
  <si>
    <t>4.225.000</t>
  </si>
  <si>
    <t>6.142.800</t>
  </si>
  <si>
    <t>6.432.825</t>
  </si>
  <si>
    <t>7.333.325</t>
  </si>
  <si>
    <t>4.332.825</t>
  </si>
  <si>
    <t>6.133.000</t>
  </si>
  <si>
    <t>6.420.000</t>
  </si>
  <si>
    <t>7.320.000</t>
  </si>
  <si>
    <t>4.320.000</t>
  </si>
  <si>
    <t>6.123.400</t>
  </si>
  <si>
    <t>6.414.625</t>
  </si>
  <si>
    <t>7.314.625</t>
  </si>
  <si>
    <t>4.314.625</t>
  </si>
  <si>
    <t>6.121.400</t>
  </si>
  <si>
    <t>6.412.625</t>
  </si>
  <si>
    <t>7.312.625</t>
  </si>
  <si>
    <t>4.312.625</t>
  </si>
  <si>
    <t>6.113.500</t>
  </si>
  <si>
    <t>6.413.500</t>
  </si>
  <si>
    <t>7.313.500</t>
  </si>
  <si>
    <t>4.313.500</t>
  </si>
  <si>
    <t>6.600.000</t>
  </si>
  <si>
    <t>4.270.000</t>
  </si>
  <si>
    <t>7.910.000</t>
  </si>
  <si>
    <t>4.640.000</t>
  </si>
  <si>
    <t>6.930.000</t>
  </si>
  <si>
    <t>Holstentor in Lübeck, Schleswig-Holstein</t>
  </si>
  <si>
    <t>Schwerin Castle, Mecklenburg-Vorpommern</t>
  </si>
  <si>
    <t>St. Michaelis Church, Hamburg</t>
  </si>
  <si>
    <t>Federal states of Germany</t>
  </si>
  <si>
    <t>Ludwigskirche in Saarbrücken, Saarland</t>
  </si>
  <si>
    <t>City Hall and Roland, Bremen</t>
  </si>
  <si>
    <t>Cologne Cathedral, North-Rhine Westphalia</t>
  </si>
  <si>
    <t>Neuschwanstein Castle, Bavaria</t>
  </si>
  <si>
    <t>50th Anniversary - Signing of the Elysée Treaty</t>
  </si>
  <si>
    <t>Maulbronn Abbey, Baden-Württemberg</t>
  </si>
  <si>
    <t>St. Michael's Church, Lower Saxony</t>
  </si>
  <si>
    <t>St. Paul's Church in Frankfurt am Main, Hesse</t>
  </si>
  <si>
    <t>25th Anniversary - German Unification</t>
  </si>
  <si>
    <t>Zwinger, Saxony</t>
  </si>
  <si>
    <t>Porta Nigra, Rhineland-Palatinate</t>
  </si>
  <si>
    <t>100th Anniversary - Birth of Helmut Schmidt</t>
  </si>
  <si>
    <t>Charlottenburg Palace, Berlin</t>
  </si>
  <si>
    <t>70th Anniversary - Bundesrat</t>
  </si>
  <si>
    <t>30th Anniversary - Fall of Berlin Wall</t>
  </si>
  <si>
    <t>Rev: old map of Europe</t>
  </si>
  <si>
    <t>Rev: new map of Europe</t>
  </si>
  <si>
    <t>eurocollection</t>
  </si>
  <si>
    <t>High convenience single table of varieties with photos</t>
  </si>
  <si>
    <t>High convenience set of tables table of actual coins with photos</t>
  </si>
  <si>
    <t>Obv: With mint letter</t>
  </si>
  <si>
    <t>Brandenburg's Sanssouci Palace, Potsdam</t>
  </si>
  <si>
    <t>50 years since the Kniefall von Warschau</t>
  </si>
  <si>
    <t>6.070.000</t>
  </si>
  <si>
    <t>6.370.000</t>
  </si>
  <si>
    <t>7.270.000</t>
  </si>
  <si>
    <t>Saxony-Anhalt, Cathedral of Magdeburg</t>
  </si>
  <si>
    <t>Thüringen, Wartburg Castle in Eisenach</t>
  </si>
  <si>
    <t>35th Anniversary - Erasmus Programme</t>
  </si>
  <si>
    <t>Hamburg, The Elbphilharmonie</t>
  </si>
  <si>
    <t>1275th Anniversary - Birth of Charlemagne</t>
  </si>
  <si>
    <t>6.110.200</t>
  </si>
  <si>
    <t>6.402.800</t>
  </si>
  <si>
    <t>7.301.900</t>
  </si>
  <si>
    <t>4.302.000</t>
  </si>
  <si>
    <t>6.402.000</t>
  </si>
  <si>
    <t>6.090.100</t>
  </si>
  <si>
    <t>3.453.000</t>
  </si>
  <si>
    <t>6.384.400</t>
  </si>
  <si>
    <t>3.623.000</t>
  </si>
  <si>
    <t>7.283.300</t>
  </si>
  <si>
    <t>4.133.000</t>
  </si>
  <si>
    <t>4.283.700</t>
  </si>
  <si>
    <t>2.433.000</t>
  </si>
  <si>
    <t>6.383.400</t>
  </si>
  <si>
    <t>6.075.600</t>
  </si>
  <si>
    <t>4.054.000</t>
  </si>
  <si>
    <t>6.371.300</t>
  </si>
  <si>
    <t>4.254.000</t>
  </si>
  <si>
    <t>7.270.300</t>
  </si>
  <si>
    <t>4.854.000</t>
  </si>
  <si>
    <t>4.270.600</t>
  </si>
  <si>
    <t>2.854.000</t>
  </si>
  <si>
    <t>6.370.400</t>
  </si>
  <si>
    <t>Mecklenburg-Vorpommern, Königstuhl</t>
  </si>
  <si>
    <t>175th Anniversary - Constitution of St. Paul's Church</t>
  </si>
  <si>
    <t>6.061.260</t>
  </si>
  <si>
    <t>6.042.000</t>
  </si>
  <si>
    <t>6.361.260</t>
  </si>
  <si>
    <t>6.342.000</t>
  </si>
  <si>
    <t>7.261.260</t>
  </si>
  <si>
    <t>7.242.000</t>
  </si>
  <si>
    <t>4.261.260</t>
  </si>
  <si>
    <t>4.242.000</t>
  </si>
  <si>
    <t>Subject</t>
  </si>
  <si>
    <t>1st page</t>
  </si>
  <si>
    <t>2nd page</t>
  </si>
  <si>
    <t>3rd page</t>
  </si>
  <si>
    <t>4th page</t>
  </si>
  <si>
    <t>5th page</t>
  </si>
  <si>
    <t>Subtype_1#Series</t>
  </si>
  <si>
    <t>Subtype_3#Map_of_Europe</t>
  </si>
  <si>
    <t>Treaty of Rome</t>
  </si>
  <si>
    <t>10 Years of EMU</t>
  </si>
  <si>
    <t>10th Anniversary - Euro Coins and Banknotes</t>
  </si>
  <si>
    <t>European Union flag</t>
  </si>
  <si>
    <t>Erasmus Programme</t>
  </si>
  <si>
    <t>-</t>
  </si>
  <si>
    <t>600.000</t>
  </si>
  <si>
    <t>Saarland, Saarschleife</t>
  </si>
  <si>
    <t>6.116.000</t>
  </si>
  <si>
    <t>6.416.000</t>
  </si>
  <si>
    <t>7.316.000</t>
  </si>
  <si>
    <t>4.316.000</t>
  </si>
  <si>
    <t>Positioning</t>
  </si>
  <si>
    <t>$Album_page</t>
  </si>
  <si>
    <t>Subtype_2#Special_marks_1</t>
  </si>
  <si>
    <t>German Unification</t>
  </si>
  <si>
    <t>6th page</t>
  </si>
  <si>
    <t>Bremen, Climate House</t>
  </si>
  <si>
    <t>Konrad Adenauer</t>
  </si>
  <si>
    <t>6.000.000</t>
  </si>
  <si>
    <t>6.300.000</t>
  </si>
  <si>
    <t>7.200.000</t>
  </si>
  <si>
    <t>4.200.000</t>
  </si>
  <si>
    <t>6.033.000</t>
  </si>
  <si>
    <t>6.333.000</t>
  </si>
  <si>
    <t>7.233.000</t>
  </si>
  <si>
    <t>4.233.000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</si>
</sst>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</font>
    <font>
      <sz val="11"/>
      <color rgb="FF0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color rgb="FFFF0000"/>
      <name val="Calibri"/>
      <family val="2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1955D"/>
        <bgColor rgb="FF000000"/>
      </patternFill>
    </fill>
    <fill>
      <patternFill patternType="solid">
        <fgColor rgb="FFFAD9C2"/>
        <bgColor indexed="64"/>
      </patternFill>
    </fill>
    <fill>
      <patternFill patternType="solid">
        <fgColor rgb="FFF3B285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5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3">
    <xf numFmtId="0" fontId="0" fillId="0" borderId="0"/>
    <xf numFmtId="0" fontId="5" fillId="0" borderId="0"/>
    <xf numFmtId="0" fontId="6" fillId="0" borderId="0" applyNumberForma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3" fontId="2" fillId="3" borderId="1" xfId="0" applyNumberFormat="1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 shrinkToFit="1"/>
    </xf>
    <xf numFmtId="3" fontId="2" fillId="3" borderId="1" xfId="0" applyNumberFormat="1" applyFont="1" applyFill="1" applyBorder="1" applyAlignment="1">
      <alignment horizontal="center" vertical="center" shrinkToFit="1"/>
    </xf>
    <xf numFmtId="0" fontId="0" fillId="0" borderId="6" xfId="0" applyBorder="1" applyAlignment="1">
      <alignment horizontal="center"/>
    </xf>
    <xf numFmtId="0" fontId="0" fillId="0" borderId="0" xfId="0" applyFont="1" applyAlignment="1"/>
    <xf numFmtId="0" fontId="0" fillId="0" borderId="0" xfId="0" applyAlignment="1">
      <alignment horizontal="center" vertical="center"/>
    </xf>
    <xf numFmtId="0" fontId="6" fillId="0" borderId="0" xfId="2" applyAlignment="1">
      <alignment horizontal="center" vertical="center"/>
    </xf>
    <xf numFmtId="0" fontId="5" fillId="0" borderId="0" xfId="0" applyFont="1" applyAlignment="1">
      <alignment wrapText="1"/>
    </xf>
    <xf numFmtId="0" fontId="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/>
    <xf numFmtId="0" fontId="2" fillId="6" borderId="1" xfId="0" applyFont="1" applyFill="1" applyBorder="1" applyAlignment="1">
      <alignment horizontal="center"/>
    </xf>
    <xf numFmtId="0" fontId="2" fillId="6" borderId="7" xfId="0" applyFont="1" applyFill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wrapText="1"/>
    </xf>
    <xf numFmtId="3" fontId="2" fillId="5" borderId="7" xfId="0" applyNumberFormat="1" applyFont="1" applyFill="1" applyBorder="1" applyAlignment="1">
      <alignment horizontal="center" vertical="center" shrinkToFit="1"/>
    </xf>
    <xf numFmtId="3" fontId="2" fillId="4" borderId="1" xfId="0" applyNumberFormat="1" applyFont="1" applyFill="1" applyBorder="1" applyAlignment="1">
      <alignment horizontal="center" vertical="center" shrinkToFit="1"/>
    </xf>
    <xf numFmtId="0" fontId="1" fillId="7" borderId="0" xfId="0" applyFont="1" applyFill="1" applyAlignment="1">
      <alignment horizontal="center" vertical="center"/>
    </xf>
    <xf numFmtId="0" fontId="1" fillId="0" borderId="0" xfId="0" applyFont="1" applyAlignment="1">
      <alignment shrinkToFit="1"/>
    </xf>
    <xf numFmtId="3" fontId="2" fillId="12" borderId="1" xfId="0" applyNumberFormat="1" applyFont="1" applyFill="1" applyBorder="1" applyAlignment="1">
      <alignment horizontal="center" vertical="center" shrinkToFit="1"/>
    </xf>
    <xf numFmtId="0" fontId="4" fillId="2" borderId="2" xfId="0" applyFont="1" applyFill="1" applyBorder="1" applyAlignment="1">
      <alignment horizontal="center" vertical="center"/>
    </xf>
    <xf numFmtId="0" fontId="2" fillId="6" borderId="10" xfId="0" applyFont="1" applyFill="1" applyBorder="1" applyAlignment="1">
      <alignment horizontal="center"/>
    </xf>
    <xf numFmtId="3" fontId="2" fillId="4" borderId="11" xfId="0" applyNumberFormat="1" applyFont="1" applyFill="1" applyBorder="1" applyAlignment="1">
      <alignment horizontal="center" vertical="center" shrinkToFit="1"/>
    </xf>
    <xf numFmtId="3" fontId="2" fillId="5" borderId="10" xfId="0" applyNumberFormat="1" applyFont="1" applyFill="1" applyBorder="1" applyAlignment="1">
      <alignment horizontal="center" vertical="center" shrinkToFit="1"/>
    </xf>
    <xf numFmtId="3" fontId="2" fillId="5" borderId="11" xfId="0" applyNumberFormat="1" applyFont="1" applyFill="1" applyBorder="1" applyAlignment="1">
      <alignment horizontal="center" vertical="center" shrinkToFit="1"/>
    </xf>
    <xf numFmtId="3" fontId="2" fillId="3" borderId="11" xfId="0" applyNumberFormat="1" applyFont="1" applyFill="1" applyBorder="1" applyAlignment="1">
      <alignment horizontal="center" vertical="center" shrinkToFit="1"/>
    </xf>
    <xf numFmtId="0" fontId="0" fillId="0" borderId="12" xfId="0" applyBorder="1" applyAlignment="1">
      <alignment horizontal="center"/>
    </xf>
    <xf numFmtId="0" fontId="2" fillId="6" borderId="13" xfId="0" applyFont="1" applyFill="1" applyBorder="1" applyAlignment="1">
      <alignment horizontal="center"/>
    </xf>
    <xf numFmtId="3" fontId="2" fillId="4" borderId="13" xfId="0" applyNumberFormat="1" applyFont="1" applyFill="1" applyBorder="1" applyAlignment="1">
      <alignment horizontal="center" vertical="center" shrinkToFit="1"/>
    </xf>
    <xf numFmtId="3" fontId="2" fillId="5" borderId="13" xfId="0" applyNumberFormat="1" applyFont="1" applyFill="1" applyBorder="1" applyAlignment="1">
      <alignment horizontal="center" vertical="center" shrinkToFit="1"/>
    </xf>
    <xf numFmtId="3" fontId="2" fillId="3" borderId="13" xfId="0" applyNumberFormat="1" applyFont="1" applyFill="1" applyBorder="1" applyAlignment="1">
      <alignment horizontal="center" vertical="center" shrinkToFit="1"/>
    </xf>
    <xf numFmtId="0" fontId="0" fillId="0" borderId="14" xfId="0" applyBorder="1" applyAlignment="1">
      <alignment horizontal="center"/>
    </xf>
    <xf numFmtId="0" fontId="1" fillId="11" borderId="15" xfId="0" applyFont="1" applyFill="1" applyBorder="1" applyAlignment="1">
      <alignment horizontal="center" vertical="center"/>
    </xf>
    <xf numFmtId="0" fontId="1" fillId="11" borderId="0" xfId="0" applyFont="1" applyFill="1" applyBorder="1" applyAlignment="1">
      <alignment horizontal="center" vertical="center"/>
    </xf>
    <xf numFmtId="0" fontId="1" fillId="10" borderId="0" xfId="0" applyFont="1" applyFill="1" applyBorder="1" applyAlignment="1">
      <alignment horizontal="center" vertical="center"/>
    </xf>
    <xf numFmtId="0" fontId="2" fillId="6" borderId="17" xfId="0" applyFont="1" applyFill="1" applyBorder="1" applyAlignment="1">
      <alignment horizontal="center"/>
    </xf>
    <xf numFmtId="3" fontId="2" fillId="4" borderId="18" xfId="0" applyNumberFormat="1" applyFont="1" applyFill="1" applyBorder="1" applyAlignment="1">
      <alignment horizontal="center" vertical="center" shrinkToFit="1"/>
    </xf>
    <xf numFmtId="3" fontId="2" fillId="5" borderId="17" xfId="0" applyNumberFormat="1" applyFont="1" applyFill="1" applyBorder="1" applyAlignment="1">
      <alignment horizontal="center" vertical="center" shrinkToFit="1"/>
    </xf>
    <xf numFmtId="3" fontId="2" fillId="5" borderId="18" xfId="0" applyNumberFormat="1" applyFont="1" applyFill="1" applyBorder="1" applyAlignment="1">
      <alignment horizontal="center" vertical="center" shrinkToFit="1"/>
    </xf>
    <xf numFmtId="3" fontId="2" fillId="3" borderId="18" xfId="0" applyNumberFormat="1" applyFont="1" applyFill="1" applyBorder="1" applyAlignment="1">
      <alignment horizontal="center" vertical="center" shrinkToFit="1"/>
    </xf>
    <xf numFmtId="0" fontId="0" fillId="0" borderId="19" xfId="0" applyBorder="1" applyAlignment="1">
      <alignment horizontal="center"/>
    </xf>
    <xf numFmtId="0" fontId="1" fillId="10" borderId="16" xfId="0" applyFont="1" applyFill="1" applyBorder="1" applyAlignment="1">
      <alignment horizontal="center" vertical="center"/>
    </xf>
    <xf numFmtId="0" fontId="1" fillId="10" borderId="15" xfId="0" applyFont="1" applyFill="1" applyBorder="1" applyAlignment="1">
      <alignment horizontal="center" vertical="center"/>
    </xf>
    <xf numFmtId="0" fontId="1" fillId="9" borderId="15" xfId="0" applyFont="1" applyFill="1" applyBorder="1" applyAlignment="1">
      <alignment horizontal="center" vertical="center"/>
    </xf>
    <xf numFmtId="0" fontId="1" fillId="9" borderId="0" xfId="0" applyFont="1" applyFill="1" applyBorder="1" applyAlignment="1">
      <alignment horizontal="center" vertical="center"/>
    </xf>
    <xf numFmtId="0" fontId="1" fillId="9" borderId="16" xfId="0" applyFont="1" applyFill="1" applyBorder="1" applyAlignment="1">
      <alignment horizontal="center" vertical="center"/>
    </xf>
    <xf numFmtId="0" fontId="1" fillId="8" borderId="15" xfId="0" applyFont="1" applyFill="1" applyBorder="1" applyAlignment="1">
      <alignment horizontal="center" vertical="center"/>
    </xf>
    <xf numFmtId="0" fontId="1" fillId="8" borderId="0" xfId="0" applyFont="1" applyFill="1" applyBorder="1" applyAlignment="1">
      <alignment horizontal="center" vertical="center"/>
    </xf>
    <xf numFmtId="0" fontId="1" fillId="8" borderId="16" xfId="0" applyFont="1" applyFill="1" applyBorder="1" applyAlignment="1">
      <alignment horizontal="center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49" fontId="4" fillId="2" borderId="9" xfId="0" applyNumberFormat="1" applyFont="1" applyFill="1" applyBorder="1" applyAlignment="1">
      <alignment horizontal="center" vertical="center" shrinkToFit="1"/>
    </xf>
    <xf numFmtId="49" fontId="0" fillId="0" borderId="0" xfId="0" applyNumberFormat="1" applyAlignment="1">
      <alignment horizontal="center" vertical="center" shrinkToFit="1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18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7" totalsRowShown="0">
  <autoFilter ref="A1:C7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en.ucoin.net/catalog/?country=germany&amp;period=1&amp;type=2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skopil.ru/tables/yubilejnye-monety-2-evro.html" TargetMode="External"/><Relationship Id="rId1" Type="http://schemas.openxmlformats.org/officeDocument/2006/relationships/hyperlink" Target="https://en.wikipedia.org/wiki/2_euro_commemorative_coins" TargetMode="External"/><Relationship Id="rId6" Type="http://schemas.openxmlformats.org/officeDocument/2006/relationships/hyperlink" Target="http://www.eurocollection.co.uk/Variants.html" TargetMode="External"/><Relationship Id="rId5" Type="http://schemas.openxmlformats.org/officeDocument/2006/relationships/hyperlink" Target="http://www.eurocollection.co.uk/" TargetMode="External"/><Relationship Id="rId4" Type="http://schemas.openxmlformats.org/officeDocument/2006/relationships/hyperlink" Target="https://www.euro-coins.info/info/mintage/germany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44"/>
  <sheetViews>
    <sheetView tabSelected="1" zoomScaleNormal="100" workbookViewId="0">
      <pane xSplit="17" ySplit="2" topLeftCell="R3" activePane="bottomRight" state="frozen"/>
      <selection pane="topRight" activeCell="R1" sqref="R1"/>
      <selection pane="bottomLeft" activeCell="A3" sqref="A3"/>
      <selection pane="bottomRight" activeCell="L35" sqref="L35"/>
    </sheetView>
  </sheetViews>
  <sheetFormatPr defaultColWidth="9.1796875" defaultRowHeight="15" customHeight="1" x14ac:dyDescent="0.35"/>
  <cols>
    <col min="1" max="1" width="5.6328125" style="7" customWidth="1"/>
    <col min="2" max="2" width="50.6328125" style="7" customWidth="1"/>
    <col min="3" max="5" width="33.6328125" style="7" customWidth="1"/>
    <col min="6" max="10" width="12.6328125" style="7" customWidth="1"/>
    <col min="11" max="15" width="3.6328125" style="7" customWidth="1"/>
    <col min="16" max="17" width="12.6328125" style="1" customWidth="1"/>
    <col min="18" max="16384" width="9.1796875" style="1"/>
  </cols>
  <sheetData>
    <row r="1" spans="1:17" ht="15" customHeight="1" x14ac:dyDescent="0.35">
      <c r="A1" s="53" t="s">
        <v>0</v>
      </c>
      <c r="B1" s="23"/>
      <c r="C1" s="55" t="s">
        <v>1</v>
      </c>
      <c r="D1" s="56"/>
      <c r="E1" s="57"/>
      <c r="F1" s="58" t="s">
        <v>2</v>
      </c>
      <c r="G1" s="59"/>
      <c r="H1" s="59"/>
      <c r="I1" s="59"/>
      <c r="J1" s="60"/>
      <c r="K1" s="61" t="s">
        <v>3</v>
      </c>
      <c r="L1" s="62"/>
      <c r="M1" s="62"/>
      <c r="N1" s="62"/>
      <c r="O1" s="62"/>
      <c r="P1" s="23" t="s">
        <v>204</v>
      </c>
    </row>
    <row r="2" spans="1:17" ht="15" customHeight="1" x14ac:dyDescent="0.35">
      <c r="A2" s="54"/>
      <c r="B2" s="23" t="s">
        <v>184</v>
      </c>
      <c r="C2" s="2" t="s">
        <v>190</v>
      </c>
      <c r="D2" s="2" t="s">
        <v>206</v>
      </c>
      <c r="E2" s="2" t="s">
        <v>191</v>
      </c>
      <c r="F2" s="3" t="s">
        <v>19</v>
      </c>
      <c r="G2" s="3" t="s">
        <v>20</v>
      </c>
      <c r="H2" s="3" t="s">
        <v>21</v>
      </c>
      <c r="I2" s="3" t="s">
        <v>22</v>
      </c>
      <c r="J2" s="3" t="s">
        <v>23</v>
      </c>
      <c r="K2" s="2" t="s">
        <v>19</v>
      </c>
      <c r="L2" s="2" t="s">
        <v>20</v>
      </c>
      <c r="M2" s="2" t="s">
        <v>21</v>
      </c>
      <c r="N2" s="2" t="s">
        <v>22</v>
      </c>
      <c r="O2" s="2" t="s">
        <v>23</v>
      </c>
      <c r="P2" s="52" t="s">
        <v>205</v>
      </c>
      <c r="Q2" s="21"/>
    </row>
    <row r="3" spans="1:17" ht="15" customHeight="1" x14ac:dyDescent="0.35">
      <c r="A3" s="14">
        <v>2006</v>
      </c>
      <c r="B3" s="19" t="s">
        <v>116</v>
      </c>
      <c r="C3" s="18" t="s">
        <v>119</v>
      </c>
      <c r="D3" s="4" t="s">
        <v>140</v>
      </c>
      <c r="E3" s="4" t="s">
        <v>135</v>
      </c>
      <c r="F3" s="5" t="s">
        <v>24</v>
      </c>
      <c r="G3" s="5" t="s">
        <v>25</v>
      </c>
      <c r="H3" s="5" t="s">
        <v>26</v>
      </c>
      <c r="I3" s="5" t="s">
        <v>27</v>
      </c>
      <c r="J3" s="5" t="s">
        <v>25</v>
      </c>
      <c r="K3" s="6">
        <v>1</v>
      </c>
      <c r="L3" s="6">
        <v>1</v>
      </c>
      <c r="M3" s="6">
        <v>1</v>
      </c>
      <c r="N3" s="6">
        <v>1</v>
      </c>
      <c r="O3" s="6">
        <v>1</v>
      </c>
      <c r="P3" s="20" t="s">
        <v>185</v>
      </c>
      <c r="Q3" s="16" t="str">
        <f>IF(OR(AND(K3&gt;1,K3&lt;&gt;"-"),AND(L3&gt;1,L3&lt;&gt;"-"),AND(M3&gt;1,M3&lt;&gt;"-"),AND(N3&gt;1,N3&lt;&gt;"-"),AND(O3&gt;1,O3&lt;&gt;"-")),"Can exchange","")</f>
        <v/>
      </c>
    </row>
    <row r="4" spans="1:17" ht="15" customHeight="1" x14ac:dyDescent="0.35">
      <c r="A4" s="15">
        <v>2007</v>
      </c>
      <c r="B4" s="19" t="s">
        <v>4</v>
      </c>
      <c r="C4" s="18" t="s">
        <v>192</v>
      </c>
      <c r="D4" s="18" t="s">
        <v>140</v>
      </c>
      <c r="E4" s="4" t="s">
        <v>136</v>
      </c>
      <c r="F4" s="5" t="s">
        <v>33</v>
      </c>
      <c r="G4" s="5" t="s">
        <v>34</v>
      </c>
      <c r="H4" s="5" t="s">
        <v>35</v>
      </c>
      <c r="I4" s="5" t="s">
        <v>36</v>
      </c>
      <c r="J4" s="5" t="s">
        <v>37</v>
      </c>
      <c r="K4" s="6">
        <v>1</v>
      </c>
      <c r="L4" s="6">
        <v>1</v>
      </c>
      <c r="M4" s="6">
        <v>1</v>
      </c>
      <c r="N4" s="6">
        <v>1</v>
      </c>
      <c r="O4" s="6">
        <v>1</v>
      </c>
      <c r="P4" s="20"/>
      <c r="Q4" s="16" t="str">
        <f t="shared" ref="Q4:Q36" si="0">IF(OR(AND(K4&gt;1,K4&lt;&gt;"-"),AND(L4&gt;1,L4&lt;&gt;"-"),AND(M4&gt;1,M4&lt;&gt;"-"),AND(N4&gt;1,N4&lt;&gt;"-"),AND(O4&gt;1,O4&lt;&gt;"-")),"Can exchange","")</f>
        <v/>
      </c>
    </row>
    <row r="5" spans="1:17" ht="15" customHeight="1" x14ac:dyDescent="0.35">
      <c r="A5" s="15">
        <v>2007</v>
      </c>
      <c r="B5" s="19" t="s">
        <v>117</v>
      </c>
      <c r="C5" s="4" t="s">
        <v>119</v>
      </c>
      <c r="D5" s="18" t="s">
        <v>140</v>
      </c>
      <c r="E5" s="4" t="s">
        <v>136</v>
      </c>
      <c r="F5" s="5" t="s">
        <v>28</v>
      </c>
      <c r="G5" s="5" t="s">
        <v>29</v>
      </c>
      <c r="H5" s="5" t="s">
        <v>30</v>
      </c>
      <c r="I5" s="5" t="s">
        <v>31</v>
      </c>
      <c r="J5" s="5" t="s">
        <v>32</v>
      </c>
      <c r="K5" s="6">
        <v>1</v>
      </c>
      <c r="L5" s="6">
        <v>1</v>
      </c>
      <c r="M5" s="6">
        <v>1</v>
      </c>
      <c r="N5" s="6">
        <v>1</v>
      </c>
      <c r="O5" s="6">
        <v>1</v>
      </c>
      <c r="P5" s="20"/>
      <c r="Q5" s="16" t="str">
        <f t="shared" si="0"/>
        <v/>
      </c>
    </row>
    <row r="6" spans="1:17" ht="15" customHeight="1" x14ac:dyDescent="0.35">
      <c r="A6" s="15">
        <v>2008</v>
      </c>
      <c r="B6" s="19" t="s">
        <v>118</v>
      </c>
      <c r="C6" s="4" t="s">
        <v>119</v>
      </c>
      <c r="D6" s="18" t="s">
        <v>140</v>
      </c>
      <c r="E6" s="4" t="s">
        <v>136</v>
      </c>
      <c r="F6" s="5" t="s">
        <v>38</v>
      </c>
      <c r="G6" s="5" t="s">
        <v>39</v>
      </c>
      <c r="H6" s="5" t="s">
        <v>40</v>
      </c>
      <c r="I6" s="5" t="s">
        <v>41</v>
      </c>
      <c r="J6" s="5" t="s">
        <v>42</v>
      </c>
      <c r="K6" s="6">
        <v>1</v>
      </c>
      <c r="L6" s="6">
        <v>1</v>
      </c>
      <c r="M6" s="6">
        <v>1</v>
      </c>
      <c r="N6" s="6">
        <v>1</v>
      </c>
      <c r="O6" s="6">
        <v>1</v>
      </c>
      <c r="P6" s="20"/>
      <c r="Q6" s="16" t="str">
        <f t="shared" si="0"/>
        <v/>
      </c>
    </row>
    <row r="7" spans="1:17" ht="15" customHeight="1" x14ac:dyDescent="0.35">
      <c r="A7" s="15">
        <v>2008</v>
      </c>
      <c r="B7" s="19" t="s">
        <v>118</v>
      </c>
      <c r="C7" s="4" t="s">
        <v>119</v>
      </c>
      <c r="D7" s="18" t="s">
        <v>140</v>
      </c>
      <c r="E7" s="4" t="s">
        <v>135</v>
      </c>
      <c r="F7" s="22" t="s">
        <v>197</v>
      </c>
      <c r="G7" s="22" t="s">
        <v>197</v>
      </c>
      <c r="H7" s="5" t="s">
        <v>198</v>
      </c>
      <c r="I7" s="22" t="s">
        <v>197</v>
      </c>
      <c r="J7" s="22" t="s">
        <v>197</v>
      </c>
      <c r="K7" s="6" t="s">
        <v>197</v>
      </c>
      <c r="L7" s="6" t="s">
        <v>197</v>
      </c>
      <c r="M7" s="6">
        <v>1</v>
      </c>
      <c r="N7" s="6" t="s">
        <v>197</v>
      </c>
      <c r="O7" s="6" t="s">
        <v>197</v>
      </c>
      <c r="P7" s="20"/>
      <c r="Q7" s="16" t="str">
        <f t="shared" si="0"/>
        <v/>
      </c>
    </row>
    <row r="8" spans="1:17" ht="15" customHeight="1" x14ac:dyDescent="0.35">
      <c r="A8" s="15">
        <v>2009</v>
      </c>
      <c r="B8" s="19" t="s">
        <v>120</v>
      </c>
      <c r="C8" s="4" t="s">
        <v>119</v>
      </c>
      <c r="D8" s="18" t="s">
        <v>140</v>
      </c>
      <c r="E8" s="4" t="s">
        <v>136</v>
      </c>
      <c r="F8" s="5" t="s">
        <v>43</v>
      </c>
      <c r="G8" s="5" t="s">
        <v>44</v>
      </c>
      <c r="H8" s="5" t="s">
        <v>45</v>
      </c>
      <c r="I8" s="5" t="s">
        <v>46</v>
      </c>
      <c r="J8" s="5" t="s">
        <v>44</v>
      </c>
      <c r="K8" s="6">
        <v>1</v>
      </c>
      <c r="L8" s="6">
        <v>1</v>
      </c>
      <c r="M8" s="6">
        <v>1</v>
      </c>
      <c r="N8" s="6">
        <v>1</v>
      </c>
      <c r="O8" s="6">
        <v>1</v>
      </c>
      <c r="P8" s="20"/>
      <c r="Q8" s="16" t="str">
        <f t="shared" si="0"/>
        <v/>
      </c>
    </row>
    <row r="9" spans="1:17" ht="15" customHeight="1" thickBot="1" x14ac:dyDescent="0.4">
      <c r="A9" s="24">
        <v>2009</v>
      </c>
      <c r="B9" s="25" t="s">
        <v>5</v>
      </c>
      <c r="C9" s="26" t="s">
        <v>193</v>
      </c>
      <c r="D9" s="26" t="s">
        <v>140</v>
      </c>
      <c r="E9" s="27" t="s">
        <v>136</v>
      </c>
      <c r="F9" s="28" t="s">
        <v>47</v>
      </c>
      <c r="G9" s="28" t="s">
        <v>48</v>
      </c>
      <c r="H9" s="28" t="s">
        <v>49</v>
      </c>
      <c r="I9" s="28" t="s">
        <v>50</v>
      </c>
      <c r="J9" s="28" t="s">
        <v>48</v>
      </c>
      <c r="K9" s="29">
        <v>1</v>
      </c>
      <c r="L9" s="29">
        <v>1</v>
      </c>
      <c r="M9" s="29">
        <v>1</v>
      </c>
      <c r="N9" s="29">
        <v>1</v>
      </c>
      <c r="O9" s="29">
        <v>1</v>
      </c>
      <c r="P9" s="20"/>
      <c r="Q9" s="16" t="str">
        <f t="shared" si="0"/>
        <v/>
      </c>
    </row>
    <row r="10" spans="1:17" ht="15" customHeight="1" x14ac:dyDescent="0.35">
      <c r="A10" s="30">
        <v>2010</v>
      </c>
      <c r="B10" s="31" t="s">
        <v>121</v>
      </c>
      <c r="C10" s="32" t="s">
        <v>119</v>
      </c>
      <c r="D10" s="32" t="s">
        <v>140</v>
      </c>
      <c r="E10" s="32" t="s">
        <v>136</v>
      </c>
      <c r="F10" s="33" t="s">
        <v>51</v>
      </c>
      <c r="G10" s="33" t="s">
        <v>52</v>
      </c>
      <c r="H10" s="33" t="s">
        <v>53</v>
      </c>
      <c r="I10" s="33" t="s">
        <v>54</v>
      </c>
      <c r="J10" s="33" t="s">
        <v>52</v>
      </c>
      <c r="K10" s="34">
        <v>1</v>
      </c>
      <c r="L10" s="34">
        <v>1</v>
      </c>
      <c r="M10" s="34">
        <v>1</v>
      </c>
      <c r="N10" s="34">
        <v>1</v>
      </c>
      <c r="O10" s="34">
        <v>1</v>
      </c>
      <c r="P10" s="49" t="s">
        <v>186</v>
      </c>
      <c r="Q10" s="16" t="str">
        <f t="shared" si="0"/>
        <v/>
      </c>
    </row>
    <row r="11" spans="1:17" ht="15" customHeight="1" x14ac:dyDescent="0.35">
      <c r="A11" s="15">
        <v>2011</v>
      </c>
      <c r="B11" s="19" t="s">
        <v>122</v>
      </c>
      <c r="C11" s="4" t="s">
        <v>119</v>
      </c>
      <c r="D11" s="18" t="s">
        <v>140</v>
      </c>
      <c r="E11" s="4" t="s">
        <v>136</v>
      </c>
      <c r="F11" s="5" t="s">
        <v>55</v>
      </c>
      <c r="G11" s="5" t="s">
        <v>56</v>
      </c>
      <c r="H11" s="5" t="s">
        <v>57</v>
      </c>
      <c r="I11" s="5" t="s">
        <v>58</v>
      </c>
      <c r="J11" s="5" t="s">
        <v>56</v>
      </c>
      <c r="K11" s="6">
        <v>1</v>
      </c>
      <c r="L11" s="6">
        <v>1</v>
      </c>
      <c r="M11" s="6">
        <v>1</v>
      </c>
      <c r="N11" s="6">
        <v>1</v>
      </c>
      <c r="O11" s="6">
        <v>1</v>
      </c>
      <c r="P11" s="50"/>
      <c r="Q11" s="16" t="str">
        <f t="shared" si="0"/>
        <v/>
      </c>
    </row>
    <row r="12" spans="1:17" ht="15" customHeight="1" x14ac:dyDescent="0.35">
      <c r="A12" s="15">
        <v>2012</v>
      </c>
      <c r="B12" s="19" t="s">
        <v>123</v>
      </c>
      <c r="C12" s="4" t="s">
        <v>119</v>
      </c>
      <c r="D12" s="18" t="s">
        <v>140</v>
      </c>
      <c r="E12" s="4" t="s">
        <v>136</v>
      </c>
      <c r="F12" s="5" t="s">
        <v>59</v>
      </c>
      <c r="G12" s="5" t="s">
        <v>60</v>
      </c>
      <c r="H12" s="5" t="s">
        <v>61</v>
      </c>
      <c r="I12" s="5" t="s">
        <v>62</v>
      </c>
      <c r="J12" s="5" t="s">
        <v>60</v>
      </c>
      <c r="K12" s="6">
        <v>1</v>
      </c>
      <c r="L12" s="6">
        <v>1</v>
      </c>
      <c r="M12" s="6">
        <v>1</v>
      </c>
      <c r="N12" s="6">
        <v>1</v>
      </c>
      <c r="O12" s="6">
        <v>1</v>
      </c>
      <c r="P12" s="50"/>
      <c r="Q12" s="16" t="str">
        <f t="shared" si="0"/>
        <v/>
      </c>
    </row>
    <row r="13" spans="1:17" ht="15" customHeight="1" x14ac:dyDescent="0.35">
      <c r="A13" s="15">
        <v>2012</v>
      </c>
      <c r="B13" s="19" t="s">
        <v>194</v>
      </c>
      <c r="C13" s="18" t="s">
        <v>6</v>
      </c>
      <c r="D13" s="18" t="s">
        <v>140</v>
      </c>
      <c r="E13" s="4" t="s">
        <v>136</v>
      </c>
      <c r="F13" s="5" t="s">
        <v>63</v>
      </c>
      <c r="G13" s="5" t="s">
        <v>64</v>
      </c>
      <c r="H13" s="5" t="s">
        <v>65</v>
      </c>
      <c r="I13" s="5" t="s">
        <v>66</v>
      </c>
      <c r="J13" s="5" t="s">
        <v>64</v>
      </c>
      <c r="K13" s="6">
        <v>1</v>
      </c>
      <c r="L13" s="6">
        <v>1</v>
      </c>
      <c r="M13" s="6">
        <v>1</v>
      </c>
      <c r="N13" s="6">
        <v>1</v>
      </c>
      <c r="O13" s="6">
        <v>1</v>
      </c>
      <c r="P13" s="50"/>
      <c r="Q13" s="16" t="str">
        <f t="shared" si="0"/>
        <v/>
      </c>
    </row>
    <row r="14" spans="1:17" ht="15" customHeight="1" x14ac:dyDescent="0.35">
      <c r="A14" s="15">
        <v>2013</v>
      </c>
      <c r="B14" s="19" t="s">
        <v>125</v>
      </c>
      <c r="C14" s="4" t="s">
        <v>119</v>
      </c>
      <c r="D14" s="18" t="s">
        <v>140</v>
      </c>
      <c r="E14" s="4" t="s">
        <v>136</v>
      </c>
      <c r="F14" s="5" t="s">
        <v>71</v>
      </c>
      <c r="G14" s="5" t="s">
        <v>72</v>
      </c>
      <c r="H14" s="5" t="s">
        <v>73</v>
      </c>
      <c r="I14" s="5" t="s">
        <v>74</v>
      </c>
      <c r="J14" s="5" t="s">
        <v>72</v>
      </c>
      <c r="K14" s="6">
        <v>1</v>
      </c>
      <c r="L14" s="6">
        <v>1</v>
      </c>
      <c r="M14" s="6">
        <v>1</v>
      </c>
      <c r="N14" s="6">
        <v>1</v>
      </c>
      <c r="O14" s="6">
        <v>1</v>
      </c>
      <c r="P14" s="50"/>
      <c r="Q14" s="16" t="str">
        <f t="shared" si="0"/>
        <v/>
      </c>
    </row>
    <row r="15" spans="1:17" ht="15" customHeight="1" x14ac:dyDescent="0.35">
      <c r="A15" s="15">
        <v>2013</v>
      </c>
      <c r="B15" s="19" t="s">
        <v>124</v>
      </c>
      <c r="C15" s="18" t="s">
        <v>124</v>
      </c>
      <c r="D15" s="18" t="s">
        <v>140</v>
      </c>
      <c r="E15" s="4" t="s">
        <v>136</v>
      </c>
      <c r="F15" s="5" t="s">
        <v>67</v>
      </c>
      <c r="G15" s="5" t="s">
        <v>68</v>
      </c>
      <c r="H15" s="5" t="s">
        <v>69</v>
      </c>
      <c r="I15" s="5" t="s">
        <v>70</v>
      </c>
      <c r="J15" s="5" t="s">
        <v>68</v>
      </c>
      <c r="K15" s="6">
        <v>2</v>
      </c>
      <c r="L15" s="6">
        <v>1</v>
      </c>
      <c r="M15" s="6">
        <v>1</v>
      </c>
      <c r="N15" s="6">
        <v>1</v>
      </c>
      <c r="O15" s="6">
        <v>1</v>
      </c>
      <c r="P15" s="50"/>
      <c r="Q15" s="16" t="str">
        <f t="shared" si="0"/>
        <v>Can exchange</v>
      </c>
    </row>
    <row r="16" spans="1:17" ht="15" customHeight="1" thickBot="1" x14ac:dyDescent="0.4">
      <c r="A16" s="38">
        <v>2014</v>
      </c>
      <c r="B16" s="39" t="s">
        <v>126</v>
      </c>
      <c r="C16" s="41" t="s">
        <v>119</v>
      </c>
      <c r="D16" s="40" t="s">
        <v>140</v>
      </c>
      <c r="E16" s="41" t="s">
        <v>136</v>
      </c>
      <c r="F16" s="42" t="s">
        <v>75</v>
      </c>
      <c r="G16" s="42" t="s">
        <v>76</v>
      </c>
      <c r="H16" s="42" t="s">
        <v>77</v>
      </c>
      <c r="I16" s="42" t="s">
        <v>78</v>
      </c>
      <c r="J16" s="42" t="s">
        <v>76</v>
      </c>
      <c r="K16" s="43">
        <v>1</v>
      </c>
      <c r="L16" s="43">
        <v>1</v>
      </c>
      <c r="M16" s="43">
        <v>1</v>
      </c>
      <c r="N16" s="43">
        <v>1</v>
      </c>
      <c r="O16" s="43">
        <v>1</v>
      </c>
      <c r="P16" s="51"/>
      <c r="Q16" s="16" t="str">
        <f t="shared" si="0"/>
        <v/>
      </c>
    </row>
    <row r="17" spans="1:17" ht="15" customHeight="1" x14ac:dyDescent="0.35">
      <c r="A17" s="30">
        <v>2015</v>
      </c>
      <c r="B17" s="31" t="s">
        <v>127</v>
      </c>
      <c r="C17" s="32" t="s">
        <v>119</v>
      </c>
      <c r="D17" s="32" t="s">
        <v>140</v>
      </c>
      <c r="E17" s="32" t="s">
        <v>136</v>
      </c>
      <c r="F17" s="33" t="s">
        <v>79</v>
      </c>
      <c r="G17" s="33" t="s">
        <v>80</v>
      </c>
      <c r="H17" s="33" t="s">
        <v>81</v>
      </c>
      <c r="I17" s="33" t="s">
        <v>82</v>
      </c>
      <c r="J17" s="33" t="s">
        <v>80</v>
      </c>
      <c r="K17" s="34">
        <v>1</v>
      </c>
      <c r="L17" s="34">
        <v>1</v>
      </c>
      <c r="M17" s="34">
        <v>1</v>
      </c>
      <c r="N17" s="34">
        <v>1</v>
      </c>
      <c r="O17" s="34">
        <v>1</v>
      </c>
      <c r="P17" s="46" t="s">
        <v>187</v>
      </c>
      <c r="Q17" s="16" t="str">
        <f t="shared" si="0"/>
        <v/>
      </c>
    </row>
    <row r="18" spans="1:17" ht="15" customHeight="1" x14ac:dyDescent="0.35">
      <c r="A18" s="15">
        <v>2015</v>
      </c>
      <c r="B18" s="19" t="s">
        <v>128</v>
      </c>
      <c r="C18" s="4"/>
      <c r="D18" s="18" t="s">
        <v>140</v>
      </c>
      <c r="E18" s="4" t="s">
        <v>136</v>
      </c>
      <c r="F18" s="5" t="s">
        <v>83</v>
      </c>
      <c r="G18" s="5" t="s">
        <v>84</v>
      </c>
      <c r="H18" s="5" t="s">
        <v>85</v>
      </c>
      <c r="I18" s="5" t="s">
        <v>86</v>
      </c>
      <c r="J18" s="5" t="s">
        <v>84</v>
      </c>
      <c r="K18" s="6">
        <v>1</v>
      </c>
      <c r="L18" s="6">
        <v>1</v>
      </c>
      <c r="M18" s="6">
        <v>1</v>
      </c>
      <c r="N18" s="6">
        <v>1</v>
      </c>
      <c r="O18" s="6">
        <v>1</v>
      </c>
      <c r="P18" s="47"/>
      <c r="Q18" s="16" t="str">
        <f t="shared" si="0"/>
        <v/>
      </c>
    </row>
    <row r="19" spans="1:17" ht="15" customHeight="1" x14ac:dyDescent="0.35">
      <c r="A19" s="15">
        <v>2015</v>
      </c>
      <c r="B19" s="19" t="s">
        <v>7</v>
      </c>
      <c r="C19" s="18" t="s">
        <v>195</v>
      </c>
      <c r="D19" s="18" t="s">
        <v>140</v>
      </c>
      <c r="E19" s="4" t="s">
        <v>136</v>
      </c>
      <c r="F19" s="5" t="s">
        <v>87</v>
      </c>
      <c r="G19" s="5" t="s">
        <v>88</v>
      </c>
      <c r="H19" s="5" t="s">
        <v>89</v>
      </c>
      <c r="I19" s="5" t="s">
        <v>90</v>
      </c>
      <c r="J19" s="5" t="s">
        <v>88</v>
      </c>
      <c r="K19" s="6">
        <v>1</v>
      </c>
      <c r="L19" s="6">
        <v>1</v>
      </c>
      <c r="M19" s="6">
        <v>1</v>
      </c>
      <c r="N19" s="6">
        <v>1</v>
      </c>
      <c r="O19" s="6">
        <v>1</v>
      </c>
      <c r="P19" s="47"/>
      <c r="Q19" s="16" t="str">
        <f t="shared" si="0"/>
        <v/>
      </c>
    </row>
    <row r="20" spans="1:17" ht="15" customHeight="1" x14ac:dyDescent="0.35">
      <c r="A20" s="15">
        <v>2016</v>
      </c>
      <c r="B20" s="19" t="s">
        <v>129</v>
      </c>
      <c r="C20" s="4" t="s">
        <v>119</v>
      </c>
      <c r="D20" s="18" t="s">
        <v>140</v>
      </c>
      <c r="E20" s="4" t="s">
        <v>136</v>
      </c>
      <c r="F20" s="5" t="s">
        <v>91</v>
      </c>
      <c r="G20" s="5" t="s">
        <v>92</v>
      </c>
      <c r="H20" s="5" t="s">
        <v>93</v>
      </c>
      <c r="I20" s="5" t="s">
        <v>94</v>
      </c>
      <c r="J20" s="5" t="s">
        <v>92</v>
      </c>
      <c r="K20" s="6">
        <v>1</v>
      </c>
      <c r="L20" s="6">
        <v>1</v>
      </c>
      <c r="M20" s="6">
        <v>1</v>
      </c>
      <c r="N20" s="6">
        <v>1</v>
      </c>
      <c r="O20" s="6">
        <v>1</v>
      </c>
      <c r="P20" s="47"/>
      <c r="Q20" s="16" t="str">
        <f t="shared" si="0"/>
        <v/>
      </c>
    </row>
    <row r="21" spans="1:17" ht="15" customHeight="1" x14ac:dyDescent="0.35">
      <c r="A21" s="15">
        <v>2017</v>
      </c>
      <c r="B21" s="19" t="s">
        <v>130</v>
      </c>
      <c r="C21" s="4" t="s">
        <v>119</v>
      </c>
      <c r="D21" s="18" t="s">
        <v>140</v>
      </c>
      <c r="E21" s="4" t="s">
        <v>136</v>
      </c>
      <c r="F21" s="5" t="s">
        <v>95</v>
      </c>
      <c r="G21" s="5" t="s">
        <v>96</v>
      </c>
      <c r="H21" s="5" t="s">
        <v>97</v>
      </c>
      <c r="I21" s="5" t="s">
        <v>98</v>
      </c>
      <c r="J21" s="5" t="s">
        <v>96</v>
      </c>
      <c r="K21" s="6">
        <v>1</v>
      </c>
      <c r="L21" s="6">
        <v>1</v>
      </c>
      <c r="M21" s="6">
        <v>1</v>
      </c>
      <c r="N21" s="6">
        <v>1</v>
      </c>
      <c r="O21" s="6">
        <v>1</v>
      </c>
      <c r="P21" s="47"/>
      <c r="Q21" s="16" t="str">
        <f t="shared" si="0"/>
        <v/>
      </c>
    </row>
    <row r="22" spans="1:17" ht="15" customHeight="1" x14ac:dyDescent="0.35">
      <c r="A22" s="15">
        <v>2018</v>
      </c>
      <c r="B22" s="19" t="s">
        <v>131</v>
      </c>
      <c r="C22" s="4"/>
      <c r="D22" s="18" t="s">
        <v>140</v>
      </c>
      <c r="E22" s="4" t="s">
        <v>136</v>
      </c>
      <c r="F22" s="5" t="s">
        <v>99</v>
      </c>
      <c r="G22" s="5" t="s">
        <v>100</v>
      </c>
      <c r="H22" s="5" t="s">
        <v>101</v>
      </c>
      <c r="I22" s="5" t="s">
        <v>102</v>
      </c>
      <c r="J22" s="5" t="s">
        <v>100</v>
      </c>
      <c r="K22" s="6">
        <v>2</v>
      </c>
      <c r="L22" s="6">
        <v>1</v>
      </c>
      <c r="M22" s="6">
        <v>1</v>
      </c>
      <c r="N22" s="6">
        <v>1</v>
      </c>
      <c r="O22" s="6">
        <v>1</v>
      </c>
      <c r="P22" s="47"/>
      <c r="Q22" s="16" t="str">
        <f t="shared" si="0"/>
        <v>Can exchange</v>
      </c>
    </row>
    <row r="23" spans="1:17" ht="15" customHeight="1" thickBot="1" x14ac:dyDescent="0.4">
      <c r="A23" s="38">
        <v>2018</v>
      </c>
      <c r="B23" s="39" t="s">
        <v>132</v>
      </c>
      <c r="C23" s="41" t="s">
        <v>119</v>
      </c>
      <c r="D23" s="40" t="s">
        <v>140</v>
      </c>
      <c r="E23" s="41" t="s">
        <v>136</v>
      </c>
      <c r="F23" s="42" t="s">
        <v>103</v>
      </c>
      <c r="G23" s="42" t="s">
        <v>104</v>
      </c>
      <c r="H23" s="42" t="s">
        <v>105</v>
      </c>
      <c r="I23" s="42" t="s">
        <v>106</v>
      </c>
      <c r="J23" s="42" t="s">
        <v>104</v>
      </c>
      <c r="K23" s="43">
        <v>1</v>
      </c>
      <c r="L23" s="43">
        <v>1</v>
      </c>
      <c r="M23" s="43">
        <v>1</v>
      </c>
      <c r="N23" s="43">
        <v>2</v>
      </c>
      <c r="O23" s="43">
        <v>1</v>
      </c>
      <c r="P23" s="48"/>
      <c r="Q23" s="16" t="str">
        <f t="shared" si="0"/>
        <v>Can exchange</v>
      </c>
    </row>
    <row r="24" spans="1:17" ht="15" customHeight="1" x14ac:dyDescent="0.35">
      <c r="A24" s="30">
        <v>2019</v>
      </c>
      <c r="B24" s="31" t="s">
        <v>133</v>
      </c>
      <c r="C24" s="32"/>
      <c r="D24" s="32" t="s">
        <v>140</v>
      </c>
      <c r="E24" s="32" t="s">
        <v>136</v>
      </c>
      <c r="F24" s="33" t="s">
        <v>107</v>
      </c>
      <c r="G24" s="33" t="s">
        <v>108</v>
      </c>
      <c r="H24" s="33" t="s">
        <v>109</v>
      </c>
      <c r="I24" s="33" t="s">
        <v>110</v>
      </c>
      <c r="J24" s="33" t="s">
        <v>108</v>
      </c>
      <c r="K24" s="34">
        <v>2</v>
      </c>
      <c r="L24" s="34">
        <v>1</v>
      </c>
      <c r="M24" s="34">
        <v>1</v>
      </c>
      <c r="N24" s="34">
        <v>2</v>
      </c>
      <c r="O24" s="34">
        <v>1</v>
      </c>
      <c r="P24" s="45" t="s">
        <v>188</v>
      </c>
      <c r="Q24" s="16" t="str">
        <f t="shared" si="0"/>
        <v>Can exchange</v>
      </c>
    </row>
    <row r="25" spans="1:17" ht="15" customHeight="1" x14ac:dyDescent="0.35">
      <c r="A25" s="15">
        <v>2019</v>
      </c>
      <c r="B25" s="19" t="s">
        <v>134</v>
      </c>
      <c r="C25" s="4"/>
      <c r="D25" s="18" t="s">
        <v>140</v>
      </c>
      <c r="E25" s="4" t="s">
        <v>136</v>
      </c>
      <c r="F25" s="5" t="s">
        <v>111</v>
      </c>
      <c r="G25" s="5" t="s">
        <v>112</v>
      </c>
      <c r="H25" s="5" t="s">
        <v>113</v>
      </c>
      <c r="I25" s="5" t="s">
        <v>114</v>
      </c>
      <c r="J25" s="5" t="s">
        <v>115</v>
      </c>
      <c r="K25" s="6">
        <v>1</v>
      </c>
      <c r="L25" s="6">
        <v>1</v>
      </c>
      <c r="M25" s="6">
        <v>1</v>
      </c>
      <c r="N25" s="6">
        <v>1</v>
      </c>
      <c r="O25" s="6">
        <v>1</v>
      </c>
      <c r="P25" s="37"/>
      <c r="Q25" s="16" t="str">
        <f t="shared" si="0"/>
        <v/>
      </c>
    </row>
    <row r="26" spans="1:17" ht="15" customHeight="1" x14ac:dyDescent="0.35">
      <c r="A26" s="15">
        <v>2020</v>
      </c>
      <c r="B26" s="19" t="s">
        <v>141</v>
      </c>
      <c r="C26" s="4" t="s">
        <v>119</v>
      </c>
      <c r="D26" s="18" t="s">
        <v>140</v>
      </c>
      <c r="E26" s="4" t="s">
        <v>136</v>
      </c>
      <c r="F26" s="5" t="s">
        <v>107</v>
      </c>
      <c r="G26" s="5" t="s">
        <v>108</v>
      </c>
      <c r="H26" s="5" t="s">
        <v>109</v>
      </c>
      <c r="I26" s="5" t="s">
        <v>110</v>
      </c>
      <c r="J26" s="5" t="s">
        <v>108</v>
      </c>
      <c r="K26" s="6">
        <v>1</v>
      </c>
      <c r="L26" s="6">
        <v>1</v>
      </c>
      <c r="M26" s="6">
        <v>1</v>
      </c>
      <c r="N26" s="6">
        <v>1</v>
      </c>
      <c r="O26" s="6">
        <v>1</v>
      </c>
      <c r="P26" s="37"/>
      <c r="Q26" s="16" t="str">
        <f t="shared" si="0"/>
        <v/>
      </c>
    </row>
    <row r="27" spans="1:17" ht="15" customHeight="1" x14ac:dyDescent="0.35">
      <c r="A27" s="15">
        <v>2020</v>
      </c>
      <c r="B27" s="19" t="s">
        <v>142</v>
      </c>
      <c r="C27" s="4"/>
      <c r="D27" s="18" t="s">
        <v>140</v>
      </c>
      <c r="E27" s="4" t="s">
        <v>136</v>
      </c>
      <c r="F27" s="5" t="s">
        <v>143</v>
      </c>
      <c r="G27" s="5" t="s">
        <v>144</v>
      </c>
      <c r="H27" s="5" t="s">
        <v>145</v>
      </c>
      <c r="I27" s="5" t="s">
        <v>112</v>
      </c>
      <c r="J27" s="5" t="s">
        <v>144</v>
      </c>
      <c r="K27" s="6">
        <v>1</v>
      </c>
      <c r="L27" s="6">
        <v>1</v>
      </c>
      <c r="M27" s="6">
        <v>1</v>
      </c>
      <c r="N27" s="6">
        <v>1</v>
      </c>
      <c r="O27" s="6">
        <v>1</v>
      </c>
      <c r="P27" s="37"/>
      <c r="Q27" s="16" t="str">
        <f t="shared" si="0"/>
        <v/>
      </c>
    </row>
    <row r="28" spans="1:17" ht="15" customHeight="1" x14ac:dyDescent="0.35">
      <c r="A28" s="15">
        <v>2021</v>
      </c>
      <c r="B28" s="19" t="s">
        <v>146</v>
      </c>
      <c r="C28" s="4" t="s">
        <v>119</v>
      </c>
      <c r="D28" s="18" t="s">
        <v>140</v>
      </c>
      <c r="E28" s="4" t="s">
        <v>136</v>
      </c>
      <c r="F28" s="5" t="s">
        <v>151</v>
      </c>
      <c r="G28" s="5" t="s">
        <v>152</v>
      </c>
      <c r="H28" s="5" t="s">
        <v>153</v>
      </c>
      <c r="I28" s="5" t="s">
        <v>154</v>
      </c>
      <c r="J28" s="5" t="s">
        <v>155</v>
      </c>
      <c r="K28" s="6">
        <v>1</v>
      </c>
      <c r="L28" s="6">
        <v>1</v>
      </c>
      <c r="M28" s="6">
        <v>1</v>
      </c>
      <c r="N28" s="6">
        <v>1</v>
      </c>
      <c r="O28" s="6">
        <v>1</v>
      </c>
      <c r="P28" s="37"/>
      <c r="Q28" s="16" t="str">
        <f t="shared" si="0"/>
        <v/>
      </c>
    </row>
    <row r="29" spans="1:17" ht="15" customHeight="1" x14ac:dyDescent="0.35">
      <c r="A29" s="15">
        <v>2022</v>
      </c>
      <c r="B29" s="19" t="s">
        <v>147</v>
      </c>
      <c r="C29" s="4" t="s">
        <v>119</v>
      </c>
      <c r="D29" s="18" t="s">
        <v>140</v>
      </c>
      <c r="E29" s="4" t="s">
        <v>136</v>
      </c>
      <c r="F29" s="5" t="s">
        <v>156</v>
      </c>
      <c r="G29" s="5" t="s">
        <v>158</v>
      </c>
      <c r="H29" s="5" t="s">
        <v>160</v>
      </c>
      <c r="I29" s="5" t="s">
        <v>162</v>
      </c>
      <c r="J29" s="5" t="s">
        <v>164</v>
      </c>
      <c r="K29" s="6">
        <v>1</v>
      </c>
      <c r="L29" s="6">
        <v>1</v>
      </c>
      <c r="M29" s="6">
        <v>1</v>
      </c>
      <c r="N29" s="6">
        <v>1</v>
      </c>
      <c r="O29" s="6">
        <v>1</v>
      </c>
      <c r="P29" s="37"/>
      <c r="Q29" s="16" t="str">
        <f t="shared" si="0"/>
        <v/>
      </c>
    </row>
    <row r="30" spans="1:17" ht="15" customHeight="1" thickBot="1" x14ac:dyDescent="0.4">
      <c r="A30" s="38">
        <v>2022</v>
      </c>
      <c r="B30" s="39" t="s">
        <v>148</v>
      </c>
      <c r="C30" s="40" t="s">
        <v>196</v>
      </c>
      <c r="D30" s="40" t="s">
        <v>140</v>
      </c>
      <c r="E30" s="41" t="s">
        <v>136</v>
      </c>
      <c r="F30" s="42" t="s">
        <v>157</v>
      </c>
      <c r="G30" s="42" t="s">
        <v>159</v>
      </c>
      <c r="H30" s="42" t="s">
        <v>161</v>
      </c>
      <c r="I30" s="42" t="s">
        <v>163</v>
      </c>
      <c r="J30" s="42" t="s">
        <v>159</v>
      </c>
      <c r="K30" s="43">
        <v>1</v>
      </c>
      <c r="L30" s="43">
        <v>2</v>
      </c>
      <c r="M30" s="43">
        <v>1</v>
      </c>
      <c r="N30" s="43">
        <v>1</v>
      </c>
      <c r="O30" s="43">
        <v>1</v>
      </c>
      <c r="P30" s="44"/>
      <c r="Q30" s="16" t="str">
        <f t="shared" si="0"/>
        <v>Can exchange</v>
      </c>
    </row>
    <row r="31" spans="1:17" ht="15" customHeight="1" x14ac:dyDescent="0.35">
      <c r="A31" s="30">
        <v>2023</v>
      </c>
      <c r="B31" s="31" t="s">
        <v>149</v>
      </c>
      <c r="C31" s="32" t="s">
        <v>119</v>
      </c>
      <c r="D31" s="32" t="s">
        <v>140</v>
      </c>
      <c r="E31" s="32" t="s">
        <v>136</v>
      </c>
      <c r="F31" s="33" t="s">
        <v>165</v>
      </c>
      <c r="G31" s="33" t="s">
        <v>167</v>
      </c>
      <c r="H31" s="33" t="s">
        <v>169</v>
      </c>
      <c r="I31" s="33" t="s">
        <v>171</v>
      </c>
      <c r="J31" s="33" t="s">
        <v>173</v>
      </c>
      <c r="K31" s="34">
        <v>1</v>
      </c>
      <c r="L31" s="34">
        <v>1</v>
      </c>
      <c r="M31" s="34">
        <v>1</v>
      </c>
      <c r="N31" s="34">
        <v>1</v>
      </c>
      <c r="O31" s="34">
        <v>1</v>
      </c>
      <c r="P31" s="35" t="s">
        <v>189</v>
      </c>
      <c r="Q31" s="16" t="str">
        <f t="shared" si="0"/>
        <v/>
      </c>
    </row>
    <row r="32" spans="1:17" ht="15" customHeight="1" x14ac:dyDescent="0.35">
      <c r="A32" s="15">
        <v>2023</v>
      </c>
      <c r="B32" s="19" t="s">
        <v>150</v>
      </c>
      <c r="C32" s="4"/>
      <c r="D32" s="18" t="s">
        <v>140</v>
      </c>
      <c r="E32" s="4" t="s">
        <v>136</v>
      </c>
      <c r="F32" s="5" t="s">
        <v>166</v>
      </c>
      <c r="G32" s="5" t="s">
        <v>168</v>
      </c>
      <c r="H32" s="5" t="s">
        <v>170</v>
      </c>
      <c r="I32" s="5" t="s">
        <v>172</v>
      </c>
      <c r="J32" s="5" t="s">
        <v>168</v>
      </c>
      <c r="K32" s="6">
        <v>1</v>
      </c>
      <c r="L32" s="6">
        <v>1</v>
      </c>
      <c r="M32" s="6">
        <v>1</v>
      </c>
      <c r="N32" s="6">
        <v>1</v>
      </c>
      <c r="O32" s="6">
        <v>1</v>
      </c>
      <c r="P32" s="36"/>
      <c r="Q32" s="16" t="str">
        <f t="shared" si="0"/>
        <v/>
      </c>
    </row>
    <row r="33" spans="1:17" ht="15" customHeight="1" x14ac:dyDescent="0.35">
      <c r="A33" s="15">
        <v>2024</v>
      </c>
      <c r="B33" s="19" t="s">
        <v>174</v>
      </c>
      <c r="C33" s="4" t="s">
        <v>119</v>
      </c>
      <c r="D33" s="18" t="s">
        <v>140</v>
      </c>
      <c r="E33" s="4" t="s">
        <v>136</v>
      </c>
      <c r="F33" s="5" t="s">
        <v>176</v>
      </c>
      <c r="G33" s="5" t="s">
        <v>178</v>
      </c>
      <c r="H33" s="5" t="s">
        <v>180</v>
      </c>
      <c r="I33" s="5" t="s">
        <v>182</v>
      </c>
      <c r="J33" s="5" t="s">
        <v>178</v>
      </c>
      <c r="K33" s="6">
        <v>1</v>
      </c>
      <c r="L33" s="6">
        <v>1</v>
      </c>
      <c r="M33" s="6">
        <v>1</v>
      </c>
      <c r="N33" s="6">
        <v>1</v>
      </c>
      <c r="O33" s="6">
        <v>1</v>
      </c>
      <c r="P33" s="36"/>
      <c r="Q33" s="16" t="str">
        <f t="shared" si="0"/>
        <v/>
      </c>
    </row>
    <row r="34" spans="1:17" ht="15" customHeight="1" x14ac:dyDescent="0.35">
      <c r="A34" s="15">
        <v>2024</v>
      </c>
      <c r="B34" s="19" t="s">
        <v>175</v>
      </c>
      <c r="C34" s="4"/>
      <c r="D34" s="18" t="s">
        <v>140</v>
      </c>
      <c r="E34" s="4" t="s">
        <v>136</v>
      </c>
      <c r="F34" s="5" t="s">
        <v>177</v>
      </c>
      <c r="G34" s="5" t="s">
        <v>179</v>
      </c>
      <c r="H34" s="5" t="s">
        <v>181</v>
      </c>
      <c r="I34" s="5" t="s">
        <v>183</v>
      </c>
      <c r="J34" s="5" t="s">
        <v>179</v>
      </c>
      <c r="K34" s="6">
        <v>1</v>
      </c>
      <c r="L34" s="6">
        <v>1</v>
      </c>
      <c r="M34" s="6">
        <v>1</v>
      </c>
      <c r="N34" s="6">
        <v>1</v>
      </c>
      <c r="O34" s="6">
        <v>1</v>
      </c>
      <c r="P34" s="36"/>
      <c r="Q34" s="16" t="str">
        <f t="shared" si="0"/>
        <v/>
      </c>
    </row>
    <row r="35" spans="1:17" ht="15" customHeight="1" x14ac:dyDescent="0.35">
      <c r="A35" s="15">
        <v>2025</v>
      </c>
      <c r="B35" s="19" t="s">
        <v>199</v>
      </c>
      <c r="C35" s="4" t="s">
        <v>119</v>
      </c>
      <c r="D35" s="18" t="s">
        <v>140</v>
      </c>
      <c r="E35" s="4" t="s">
        <v>136</v>
      </c>
      <c r="F35" s="5" t="s">
        <v>200</v>
      </c>
      <c r="G35" s="5" t="s">
        <v>201</v>
      </c>
      <c r="H35" s="5" t="s">
        <v>202</v>
      </c>
      <c r="I35" s="5" t="s">
        <v>203</v>
      </c>
      <c r="J35" s="5" t="s">
        <v>201</v>
      </c>
      <c r="K35" s="6">
        <v>1</v>
      </c>
      <c r="L35" s="6">
        <v>1</v>
      </c>
      <c r="M35" s="6">
        <v>1</v>
      </c>
      <c r="N35" s="6">
        <v>1</v>
      </c>
      <c r="O35" s="6">
        <v>1</v>
      </c>
      <c r="P35" s="36"/>
      <c r="Q35" s="16" t="str">
        <f t="shared" si="0"/>
        <v/>
      </c>
    </row>
    <row r="36" spans="1:17" ht="15" customHeight="1" x14ac:dyDescent="0.35">
      <c r="A36" s="15">
        <v>2025</v>
      </c>
      <c r="B36" s="19" t="s">
        <v>207</v>
      </c>
      <c r="C36" s="4"/>
      <c r="D36" s="18" t="s">
        <v>140</v>
      </c>
      <c r="E36" s="4" t="s">
        <v>136</v>
      </c>
      <c r="F36" s="5" t="s">
        <v>215</v>
      </c>
      <c r="G36" s="5" t="s">
        <v>216</v>
      </c>
      <c r="H36" s="5" t="s">
        <v>217</v>
      </c>
      <c r="I36" s="5" t="s">
        <v>218</v>
      </c>
      <c r="J36" s="5" t="s">
        <v>216</v>
      </c>
      <c r="K36" s="6">
        <v>1</v>
      </c>
      <c r="L36" s="6">
        <v>1</v>
      </c>
      <c r="M36" s="6">
        <v>1</v>
      </c>
      <c r="N36" s="6">
        <v>1</v>
      </c>
      <c r="O36" s="6">
        <v>1</v>
      </c>
      <c r="P36" s="36"/>
      <c r="Q36" s="16" t="str">
        <f t="shared" si="0"/>
        <v/>
      </c>
    </row>
    <row r="37" spans="1:17" ht="15" customHeight="1" thickBot="1" x14ac:dyDescent="0.4">
      <c r="A37" s="15">
        <v>2026</v>
      </c>
      <c r="B37" s="19" t="s">
        <v>209</v>
      </c>
      <c r="C37" s="4" t="s">
        <v>119</v>
      </c>
      <c r="D37" s="18" t="s">
        <v>140</v>
      </c>
      <c r="E37" s="4" t="s">
        <v>136</v>
      </c>
      <c r="F37" s="5" t="s">
        <v>211</v>
      </c>
      <c r="G37" s="5" t="s">
        <v>212</v>
      </c>
      <c r="H37" s="5" t="s">
        <v>213</v>
      </c>
      <c r="I37" s="5" t="s">
        <v>214</v>
      </c>
      <c r="J37" s="5" t="s">
        <v>212</v>
      </c>
      <c r="K37" s="6">
        <v>1</v>
      </c>
      <c r="L37" s="6">
        <v>1</v>
      </c>
      <c r="M37" s="6">
        <v>1</v>
      </c>
      <c r="N37" s="6">
        <v>1</v>
      </c>
      <c r="O37" s="6">
        <v>1</v>
      </c>
      <c r="P37" s="36"/>
      <c r="Q37" s="16" t="str">
        <f t="shared" ref="Q37:Q38" si="1">IF(OR(AND(K37&gt;1,K37&lt;&gt;"-"),AND(L37&gt;1,L37&lt;&gt;"-"),AND(M37&gt;1,M37&lt;&gt;"-"),AND(N37&gt;1,N37&lt;&gt;"-"),AND(O37&gt;1,O37&lt;&gt;"-")),"Can exchange","")</f>
        <v/>
      </c>
    </row>
    <row r="38" spans="1:17" ht="15" customHeight="1" x14ac:dyDescent="0.35">
      <c r="A38" s="30">
        <v>2026</v>
      </c>
      <c r="B38" s="31" t="s">
        <v>210</v>
      </c>
      <c r="C38" s="32"/>
      <c r="D38" s="32" t="s">
        <v>140</v>
      </c>
      <c r="E38" s="32" t="s">
        <v>136</v>
      </c>
      <c r="F38" s="33" t="s">
        <v>211</v>
      </c>
      <c r="G38" s="33" t="s">
        <v>212</v>
      </c>
      <c r="H38" s="33" t="s">
        <v>213</v>
      </c>
      <c r="I38" s="33" t="s">
        <v>214</v>
      </c>
      <c r="J38" s="33" t="s">
        <v>212</v>
      </c>
      <c r="K38" s="34">
        <v>1</v>
      </c>
      <c r="L38" s="34">
        <v>1</v>
      </c>
      <c r="M38" s="34">
        <v>1</v>
      </c>
      <c r="N38" s="34">
        <v>1</v>
      </c>
      <c r="O38" s="34">
        <v>1</v>
      </c>
      <c r="P38" s="49" t="s">
        <v>208</v>
      </c>
      <c r="Q38" s="16" t="str">
        <f t="shared" si="1"/>
        <v/>
      </c>
    </row>
    <row r="39" spans="1:17" ht="15" customHeight="1" x14ac:dyDescent="0.35">
      <c r="P39" s="50"/>
    </row>
    <row r="40" spans="1:17" ht="15" customHeight="1" x14ac:dyDescent="0.35">
      <c r="P40" s="50"/>
    </row>
    <row r="41" spans="1:17" ht="15" customHeight="1" x14ac:dyDescent="0.35">
      <c r="P41" s="50"/>
    </row>
    <row r="42" spans="1:17" ht="15" customHeight="1" x14ac:dyDescent="0.35">
      <c r="P42" s="50"/>
    </row>
    <row r="43" spans="1:17" ht="15" customHeight="1" x14ac:dyDescent="0.35">
      <c r="P43" s="50"/>
    </row>
    <row r="44" spans="1:17" ht="15" customHeight="1" thickBot="1" x14ac:dyDescent="0.4">
      <c r="P44" s="51"/>
    </row>
  </sheetData>
  <autoFilter ref="B2:J2" xr:uid="{00000000-0001-0000-0000-000000000000}"/>
  <mergeCells count="4">
    <mergeCell ref="A1:A2"/>
    <mergeCell ref="C1:E1"/>
    <mergeCell ref="F1:J1"/>
    <mergeCell ref="K1:O1"/>
  </mergeCells>
  <conditionalFormatting sqref="K3:O6 K8:O26">
    <cfRule type="containsText" dxfId="17" priority="39" operator="containsText" text="*-">
      <formula>NOT(ISERROR(SEARCH(("*-"),(K3))))</formula>
    </cfRule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:O27">
    <cfRule type="containsText" dxfId="16" priority="37" operator="containsText" text="*-">
      <formula>NOT(ISERROR(SEARCH(("*-"),(K27))))</formula>
    </cfRule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8:O28 K30:O30 K32:O32">
    <cfRule type="containsText" dxfId="15" priority="35" operator="containsText" text="*-">
      <formula>NOT(ISERROR(SEARCH(("*-"),(K28))))</formula>
    </cfRule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9:O29 K31:O31">
    <cfRule type="containsText" dxfId="14" priority="33" operator="containsText" text="*-">
      <formula>NOT(ISERROR(SEARCH(("*-"),(K29))))</formula>
    </cfRule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4:O34">
    <cfRule type="containsText" dxfId="13" priority="31" operator="containsText" text="*-">
      <formula>NOT(ISERROR(SEARCH(("*-"),(K34))))</formula>
    </cfRule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:O33">
    <cfRule type="containsText" dxfId="12" priority="29" operator="containsText" text="*-">
      <formula>NOT(ISERROR(SEARCH(("*-"),(K33))))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">
    <cfRule type="containsText" dxfId="11" priority="27" operator="containsText" text="*-">
      <formula>NOT(ISERROR(SEARCH(("*-"),(K7))))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7">
    <cfRule type="containsText" dxfId="10" priority="25" operator="containsText" text="*-">
      <formula>NOT(ISERROR(SEARCH(("*-"),(L7))))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O7">
    <cfRule type="containsText" dxfId="9" priority="19" operator="containsText" text="*-">
      <formula>NOT(ISERROR(SEARCH(("*-"),(O7))))</formula>
    </cfRule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M7">
    <cfRule type="containsText" dxfId="8" priority="15" operator="containsText" text="*-">
      <formula>NOT(ISERROR(SEARCH(("*-"),(M7))))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N7">
    <cfRule type="containsText" dxfId="7" priority="13" operator="containsText" text="*-">
      <formula>NOT(ISERROR(SEARCH(("*-"),(N7))))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5:O35">
    <cfRule type="containsText" dxfId="6" priority="7" operator="containsText" text="*-">
      <formula>NOT(ISERROR(SEARCH(("*-"),(K35))))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6:O36">
    <cfRule type="containsText" dxfId="5" priority="5" operator="containsText" text="*-">
      <formula>NOT(ISERROR(SEARCH(("*-"),(K36))))</formula>
    </cfRule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7:O37">
    <cfRule type="containsText" dxfId="4" priority="3" operator="containsText" text="*-">
      <formula>NOT(ISERROR(SEARCH(("*-"),(K37))))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8:O38">
    <cfRule type="containsText" dxfId="3" priority="1" operator="containsText" text="*-">
      <formula>NOT(ISERROR(SEARCH(("*-"),(K38))))</formula>
    </cfRule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5" sqref="B5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11" t="s">
        <v>8</v>
      </c>
      <c r="B1" s="12" t="s">
        <v>12</v>
      </c>
      <c r="C1" s="13" t="s">
        <v>13</v>
      </c>
    </row>
    <row r="2" spans="1:3" x14ac:dyDescent="0.35">
      <c r="A2" s="8">
        <v>1</v>
      </c>
      <c r="B2" s="9" t="s">
        <v>9</v>
      </c>
      <c r="C2" s="10" t="s">
        <v>14</v>
      </c>
    </row>
    <row r="3" spans="1:3" x14ac:dyDescent="0.35">
      <c r="A3" s="8">
        <v>2</v>
      </c>
      <c r="B3" s="9" t="s">
        <v>10</v>
      </c>
      <c r="C3" s="10" t="s">
        <v>16</v>
      </c>
    </row>
    <row r="4" spans="1:3" x14ac:dyDescent="0.35">
      <c r="A4" s="8">
        <v>3</v>
      </c>
      <c r="B4" s="9" t="s">
        <v>11</v>
      </c>
      <c r="C4" s="10" t="s">
        <v>17</v>
      </c>
    </row>
    <row r="5" spans="1:3" x14ac:dyDescent="0.35">
      <c r="A5" s="8">
        <v>4</v>
      </c>
      <c r="B5" s="9" t="s">
        <v>15</v>
      </c>
      <c r="C5" s="10" t="s">
        <v>18</v>
      </c>
    </row>
    <row r="6" spans="1:3" x14ac:dyDescent="0.35">
      <c r="A6" s="8">
        <v>5</v>
      </c>
      <c r="B6" s="9" t="s">
        <v>137</v>
      </c>
      <c r="C6" s="17" t="s">
        <v>138</v>
      </c>
    </row>
    <row r="7" spans="1:3" x14ac:dyDescent="0.35">
      <c r="A7" s="8">
        <v>6</v>
      </c>
      <c r="B7" s="9" t="s">
        <v>137</v>
      </c>
      <c r="C7" s="17" t="s">
        <v>139</v>
      </c>
    </row>
  </sheetData>
  <hyperlinks>
    <hyperlink ref="B3" r:id="rId1" xr:uid="{00000000-0004-0000-0100-000000000000}"/>
    <hyperlink ref="B4" r:id="rId2" location="svodka" xr:uid="{00000000-0004-0000-0100-000001000000}"/>
    <hyperlink ref="B5" r:id="rId3" xr:uid="{00000000-0004-0000-0100-000002000000}"/>
    <hyperlink ref="B2" r:id="rId4" xr:uid="{00000000-0004-0000-0100-000003000000}"/>
    <hyperlink ref="B7" r:id="rId5" xr:uid="{00000000-0004-0000-0100-000004000000}"/>
    <hyperlink ref="B6" r:id="rId6" xr:uid="{00000000-0004-0000-0100-000005000000}"/>
  </hyperlinks>
  <pageMargins left="0.7" right="0.7" top="0.75" bottom="0.75" header="0.3" footer="0.3"/>
  <pageSetup paperSize="9" orientation="portrait" r:id="rId7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2019-12-22T17:13:32Z</dcterms:created>
  <dcterms:modified xsi:type="dcterms:W3CDTF">2026-03-12T09:04:45Z</dcterms:modified>
</cp:coreProperties>
</file>