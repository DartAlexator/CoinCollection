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Lithuania\"/>
    </mc:Choice>
  </mc:AlternateContent>
  <xr:revisionPtr revIDLastSave="0" documentId="13_ncr:1_{03DF881F-D331-4BBC-9932-5115CAC0CC6D}" xr6:coauthVersionLast="47" xr6:coauthVersionMax="47" xr10:uidLastSave="{00000000-0000-0000-0000-000000000000}"/>
  <bookViews>
    <workbookView xWindow="-110" yWindow="-110" windowWidth="38620" windowHeight="21220" activeTab="7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'1€'!$B$2:$E$2</definedName>
    <definedName name="_xlnm._FilterDatabase" localSheetId="3" hidden="1">'10cents'!$B$2:$E$2</definedName>
    <definedName name="_xlnm._FilterDatabase" localSheetId="0" hidden="1">'1cent'!$B$2:$E$2</definedName>
    <definedName name="_xlnm._FilterDatabase" localSheetId="7" hidden="1">'2€'!$B$2:$E$2</definedName>
    <definedName name="_xlnm._FilterDatabase" localSheetId="4" hidden="1">'20cents'!$B$2:$E$2</definedName>
    <definedName name="_xlnm._FilterDatabase" localSheetId="1" hidden="1">'2cents'!$B$2:$E$2</definedName>
    <definedName name="_xlnm._FilterDatabase" localSheetId="5" hidden="1">'50cents'!$B$2:$E$2</definedName>
    <definedName name="_xlnm._FilterDatabase" localSheetId="2" hidden="1">'5cents'!$B$2:$E$2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12" l="1"/>
  <c r="G12" i="12"/>
  <c r="G13" i="11"/>
  <c r="G12" i="11"/>
  <c r="G13" i="10"/>
  <c r="G12" i="10"/>
  <c r="G13" i="9"/>
  <c r="G12" i="9"/>
  <c r="G13" i="8"/>
  <c r="G12" i="8"/>
  <c r="G13" i="7"/>
  <c r="G12" i="7"/>
  <c r="G13" i="5"/>
  <c r="G12" i="5"/>
  <c r="G13" i="4"/>
  <c r="G12" i="4"/>
  <c r="G9" i="4"/>
  <c r="G10" i="4"/>
  <c r="G11" i="4"/>
  <c r="G9" i="5"/>
  <c r="G10" i="5"/>
  <c r="G11" i="5"/>
  <c r="G10" i="7"/>
  <c r="G11" i="7"/>
  <c r="G9" i="7"/>
  <c r="G9" i="8"/>
  <c r="G10" i="8"/>
  <c r="G11" i="8"/>
  <c r="G9" i="9"/>
  <c r="G10" i="9"/>
  <c r="G11" i="9"/>
  <c r="G9" i="10"/>
  <c r="G10" i="10"/>
  <c r="G11" i="10"/>
  <c r="G9" i="11"/>
  <c r="G10" i="11"/>
  <c r="G11" i="11"/>
  <c r="G11" i="12"/>
  <c r="G9" i="12"/>
  <c r="G10" i="12"/>
  <c r="G8" i="12"/>
  <c r="G7" i="12"/>
  <c r="G8" i="11"/>
  <c r="G7" i="11"/>
  <c r="G6" i="11"/>
  <c r="G8" i="10"/>
  <c r="G7" i="10"/>
  <c r="G6" i="10"/>
  <c r="G8" i="9"/>
  <c r="G7" i="9"/>
  <c r="G6" i="9"/>
  <c r="G8" i="8"/>
  <c r="G7" i="8"/>
  <c r="G6" i="8"/>
  <c r="G8" i="7"/>
  <c r="G7" i="7"/>
  <c r="G6" i="7"/>
  <c r="G8" i="5"/>
  <c r="G7" i="5"/>
  <c r="G6" i="5"/>
  <c r="G8" i="4"/>
  <c r="G7" i="4"/>
  <c r="G6" i="12" l="1"/>
  <c r="G5" i="12"/>
  <c r="G4" i="12"/>
  <c r="G3" i="12"/>
  <c r="G5" i="11"/>
  <c r="G4" i="11"/>
  <c r="G3" i="11"/>
  <c r="G5" i="10"/>
  <c r="G4" i="10"/>
  <c r="G3" i="10"/>
  <c r="G5" i="9"/>
  <c r="G4" i="9"/>
  <c r="G3" i="9"/>
  <c r="G5" i="8"/>
  <c r="G4" i="8"/>
  <c r="G3" i="8"/>
  <c r="G5" i="7"/>
  <c r="G4" i="7"/>
  <c r="G3" i="7"/>
  <c r="G4" i="4"/>
  <c r="G5" i="4"/>
  <c r="G6" i="4"/>
  <c r="G3" i="4"/>
  <c r="G4" i="5"/>
  <c r="G5" i="5"/>
  <c r="G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sharedStrings.xml><?xml version="1.0" encoding="utf-8"?>
<sst xmlns="http://schemas.openxmlformats.org/spreadsheetml/2006/main" count="473" uniqueCount="55">
  <si>
    <t>-</t>
  </si>
  <si>
    <t>Year</t>
  </si>
  <si>
    <t>Type</t>
  </si>
  <si>
    <t>Mintage</t>
  </si>
  <si>
    <t>1cent</t>
  </si>
  <si>
    <t>2cents</t>
  </si>
  <si>
    <t>5cents</t>
  </si>
  <si>
    <t>10cents</t>
  </si>
  <si>
    <t>20cents</t>
  </si>
  <si>
    <t>50cents</t>
  </si>
  <si>
    <t>1€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</si>
  <si>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</si>
  <si>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</si>
  <si>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</si>
  <si>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</si>
  <si>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</si>
  <si>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</si>
  <si>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</si>
  <si>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</si>
  <si>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Photo of coins</t>
  </si>
  <si>
    <t>2€</t>
  </si>
  <si>
    <t>eurocollection</t>
  </si>
  <si>
    <t>Low convenience table of varieties</t>
  </si>
  <si>
    <t>High convenience single table of varieties with photos</t>
  </si>
  <si>
    <t>High convenience set of tables table of actual coins with photos</t>
  </si>
  <si>
    <t>coinsplanet.ru</t>
  </si>
  <si>
    <t>5.000</t>
  </si>
  <si>
    <t>LT</t>
  </si>
  <si>
    <t>70.042.000</t>
  </si>
  <si>
    <t>20.000.000</t>
  </si>
  <si>
    <t>22.000.000</t>
  </si>
  <si>
    <t>23.000.000</t>
  </si>
  <si>
    <t>60.042.000</t>
  </si>
  <si>
    <t>35.042.000</t>
  </si>
  <si>
    <t>14.000.000</t>
  </si>
  <si>
    <t>6.000.000</t>
  </si>
  <si>
    <t>40.042.000</t>
  </si>
  <si>
    <t>25.042.000</t>
  </si>
  <si>
    <t>12.000.000</t>
  </si>
  <si>
    <t>Obv: With mint logo - "LMK"</t>
  </si>
  <si>
    <t>Rev: new map of Europe</t>
  </si>
  <si>
    <t>Obv: "Vytis" from the Coat of arms of Lithuania</t>
  </si>
  <si>
    <t>6.000</t>
  </si>
  <si>
    <t>5.000.000</t>
  </si>
  <si>
    <t>3.000.000</t>
  </si>
  <si>
    <t>7.000</t>
  </si>
  <si>
    <t>Subject</t>
  </si>
  <si>
    <t>Subtype_1#Special_marks_1</t>
  </si>
  <si>
    <t>Subtype_2#Special_distinctions_1</t>
  </si>
  <si>
    <t>Subtype_2#Map_of_Europe</t>
  </si>
  <si>
    <t>8.007.000</t>
  </si>
  <si>
    <t>2.007.000</t>
  </si>
  <si>
    <t>3.007.000</t>
  </si>
  <si>
    <t>3.006.000</t>
  </si>
  <si>
    <t>9.007.000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</si>
</sst>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1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  <fill>
      <patternFill patternType="solid">
        <fgColor rgb="FFDDEBF7"/>
        <bgColor rgb="FFDDEBF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1"/>
    <xf numFmtId="0" fontId="5" fillId="0" borderId="0" xfId="1" applyFont="1" applyAlignment="1">
      <alignment horizontal="center" vertical="center"/>
    </xf>
    <xf numFmtId="0" fontId="0" fillId="0" borderId="0" xfId="0" applyFont="1" applyAlignment="1"/>
    <xf numFmtId="3" fontId="4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3" fontId="4" fillId="6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 shrinkToFit="1"/>
    </xf>
    <xf numFmtId="3" fontId="4" fillId="3" borderId="1" xfId="0" applyNumberFormat="1" applyFont="1" applyFill="1" applyBorder="1" applyAlignment="1">
      <alignment horizontal="center" vertical="center" shrinkToFit="1"/>
    </xf>
    <xf numFmtId="3" fontId="4" fillId="4" borderId="1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0" fillId="0" borderId="0" xfId="0" applyAlignment="1">
      <alignment horizontal="center" vertical="center"/>
    </xf>
    <xf numFmtId="0" fontId="6" fillId="0" borderId="0" xfId="2" applyAlignment="1">
      <alignment horizontal="center" vertical="center"/>
    </xf>
    <xf numFmtId="0" fontId="2" fillId="0" borderId="0" xfId="0" applyFont="1" applyAlignment="1">
      <alignment wrapText="1"/>
    </xf>
    <xf numFmtId="3" fontId="4" fillId="4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wrapText="1"/>
    </xf>
    <xf numFmtId="0" fontId="7" fillId="5" borderId="2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 vertical="center" shrinkToFit="1"/>
    </xf>
    <xf numFmtId="0" fontId="7" fillId="5" borderId="7" xfId="0" applyFont="1" applyFill="1" applyBorder="1" applyAlignment="1">
      <alignment horizontal="center" vertical="center" shrinkToFit="1"/>
    </xf>
    <xf numFmtId="49" fontId="7" fillId="5" borderId="6" xfId="0" applyNumberFormat="1" applyFont="1" applyFill="1" applyBorder="1" applyAlignment="1">
      <alignment horizontal="center" vertical="center" shrinkToFit="1"/>
    </xf>
    <xf numFmtId="0" fontId="6" fillId="7" borderId="10" xfId="2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3" fontId="1" fillId="2" borderId="1" xfId="0" applyNumberFormat="1" applyFont="1" applyFill="1" applyBorder="1" applyAlignment="1">
      <alignment horizontal="center" vertical="center" shrinkToFit="1"/>
    </xf>
    <xf numFmtId="3" fontId="4" fillId="3" borderId="6" xfId="0" applyNumberFormat="1" applyFont="1" applyFill="1" applyBorder="1" applyAlignment="1">
      <alignment horizontal="center" vertical="center" shrinkToFit="1"/>
    </xf>
    <xf numFmtId="0" fontId="9" fillId="0" borderId="0" xfId="0" applyFont="1"/>
    <xf numFmtId="164" fontId="9" fillId="0" borderId="0" xfId="0" applyNumberFormat="1" applyFont="1"/>
    <xf numFmtId="0" fontId="7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51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15"/>
    <tableColumn id="2" xr3:uid="{00000000-0010-0000-0000-000002000000}" name="Link" dataDxfId="14" dataCellStyle="Гиперссылка"/>
    <tableColumn id="3" xr3:uid="{00000000-0010-0000-0000-000003000000}" name="Description (single table, table set, mintage, prices):" dataDxfId="13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https://www.euro-coins.info/info/mintage/litva.html" TargetMode="External"/><Relationship Id="rId1" Type="http://schemas.openxmlformats.org/officeDocument/2006/relationships/hyperlink" Target="https://en.ucoin.net/catalog/?country=lithuania" TargetMode="External"/><Relationship Id="rId6" Type="http://schemas.openxmlformats.org/officeDocument/2006/relationships/hyperlink" Target="https://coinsplanet.ru/upload/013/u1372/001/9e08e8ac.jpg" TargetMode="External"/><Relationship Id="rId5" Type="http://schemas.openxmlformats.org/officeDocument/2006/relationships/hyperlink" Target="http://www.eurocollection.co.uk/Variants.html" TargetMode="External"/><Relationship Id="rId4" Type="http://schemas.openxmlformats.org/officeDocument/2006/relationships/hyperlink" Target="http://www.eurocollection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pane xSplit="7" ySplit="2" topLeftCell="H3" activePane="bottomRight" state="frozen"/>
      <selection pane="topRight" activeCell="J1" sqref="J1"/>
      <selection pane="bottomLeft" activeCell="A3" sqref="A3"/>
      <selection pane="bottomRight" activeCell="A12" sqref="A12:G1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5" width="12.6328125" style="3" customWidth="1"/>
    <col min="6" max="6" width="3.6328125" style="3" customWidth="1"/>
    <col min="7" max="7" width="12.6328125" style="3" customWidth="1"/>
  </cols>
  <sheetData>
    <row r="1" spans="1:14" ht="15" customHeight="1" x14ac:dyDescent="0.35">
      <c r="A1" s="32" t="s">
        <v>1</v>
      </c>
      <c r="B1" s="31"/>
      <c r="C1" s="34" t="s">
        <v>2</v>
      </c>
      <c r="D1" s="35"/>
      <c r="E1" s="20" t="s">
        <v>3</v>
      </c>
      <c r="F1" s="21" t="s">
        <v>4</v>
      </c>
      <c r="G1" s="1"/>
    </row>
    <row r="2" spans="1:14" ht="15" customHeight="1" x14ac:dyDescent="0.35">
      <c r="A2" s="33"/>
      <c r="B2" s="31" t="s">
        <v>46</v>
      </c>
      <c r="C2" s="4" t="s">
        <v>47</v>
      </c>
      <c r="D2" s="4" t="s">
        <v>48</v>
      </c>
      <c r="E2" s="6" t="s">
        <v>27</v>
      </c>
      <c r="F2" s="17" t="s">
        <v>27</v>
      </c>
      <c r="G2" s="1"/>
    </row>
    <row r="3" spans="1:14" ht="15" customHeight="1" x14ac:dyDescent="0.35">
      <c r="A3" s="7">
        <v>2015</v>
      </c>
      <c r="B3" s="8" t="s">
        <v>41</v>
      </c>
      <c r="C3" s="28" t="s">
        <v>39</v>
      </c>
      <c r="D3" s="9"/>
      <c r="E3" s="10" t="s">
        <v>28</v>
      </c>
      <c r="F3" s="18">
        <v>0</v>
      </c>
      <c r="G3" s="2" t="str">
        <f t="shared" ref="G3:G6" si="0">IF(OR(AND(F3&gt;1,F3&lt;&gt;"-")),"Can exchange","")</f>
        <v/>
      </c>
    </row>
    <row r="4" spans="1:14" ht="15" customHeight="1" x14ac:dyDescent="0.35">
      <c r="A4" s="7">
        <v>2016</v>
      </c>
      <c r="B4" s="8" t="s">
        <v>41</v>
      </c>
      <c r="C4" s="28" t="s">
        <v>39</v>
      </c>
      <c r="D4" s="9"/>
      <c r="E4" s="10" t="s">
        <v>29</v>
      </c>
      <c r="F4" s="18">
        <v>0</v>
      </c>
      <c r="G4" s="2" t="str">
        <f t="shared" si="0"/>
        <v/>
      </c>
    </row>
    <row r="5" spans="1:14" ht="15" customHeight="1" x14ac:dyDescent="0.35">
      <c r="A5" s="7">
        <v>2017</v>
      </c>
      <c r="B5" s="8" t="s">
        <v>41</v>
      </c>
      <c r="C5" s="28" t="s">
        <v>39</v>
      </c>
      <c r="D5" s="9"/>
      <c r="E5" s="10" t="s">
        <v>30</v>
      </c>
      <c r="F5" s="18">
        <v>0</v>
      </c>
      <c r="G5" s="2" t="str">
        <f t="shared" si="0"/>
        <v/>
      </c>
    </row>
    <row r="6" spans="1:14" ht="15" customHeight="1" x14ac:dyDescent="0.35">
      <c r="A6" s="7">
        <v>2018</v>
      </c>
      <c r="B6" s="8" t="s">
        <v>41</v>
      </c>
      <c r="C6" s="28" t="s">
        <v>39</v>
      </c>
      <c r="D6" s="9"/>
      <c r="E6" s="26" t="s">
        <v>26</v>
      </c>
      <c r="F6" s="18" t="s">
        <v>0</v>
      </c>
      <c r="G6" s="2" t="str">
        <f t="shared" si="0"/>
        <v/>
      </c>
    </row>
    <row r="7" spans="1:14" ht="15" customHeight="1" x14ac:dyDescent="0.35">
      <c r="A7" s="7">
        <v>2019</v>
      </c>
      <c r="B7" s="8" t="s">
        <v>41</v>
      </c>
      <c r="C7" s="28" t="s">
        <v>39</v>
      </c>
      <c r="D7" s="9"/>
      <c r="E7" s="26" t="s">
        <v>42</v>
      </c>
      <c r="F7" s="18" t="s">
        <v>0</v>
      </c>
      <c r="G7" s="2" t="str">
        <f t="shared" ref="G7:G8" si="1">IF(OR(AND(F7&gt;1,F7&lt;&gt;"-")),"Can exchange","")</f>
        <v/>
      </c>
    </row>
    <row r="8" spans="1:14" ht="15" customHeight="1" x14ac:dyDescent="0.35">
      <c r="A8" s="7">
        <v>2020</v>
      </c>
      <c r="B8" s="8" t="s">
        <v>41</v>
      </c>
      <c r="C8" s="28" t="s">
        <v>39</v>
      </c>
      <c r="D8" s="9"/>
      <c r="E8" s="26" t="s">
        <v>42</v>
      </c>
      <c r="F8" s="18" t="s">
        <v>0</v>
      </c>
      <c r="G8" s="2" t="str">
        <f t="shared" si="1"/>
        <v/>
      </c>
    </row>
    <row r="9" spans="1:14" ht="15" customHeight="1" x14ac:dyDescent="0.35">
      <c r="A9" s="7">
        <v>2021</v>
      </c>
      <c r="B9" s="8" t="s">
        <v>41</v>
      </c>
      <c r="C9" s="28" t="s">
        <v>39</v>
      </c>
      <c r="D9" s="9"/>
      <c r="E9" s="26" t="s">
        <v>42</v>
      </c>
      <c r="F9" s="18" t="s">
        <v>0</v>
      </c>
      <c r="G9" s="2" t="str">
        <f t="shared" ref="G9:G11" si="2">IF(OR(AND(F9&gt;1,F9&lt;&gt;"-")),"Can exchange","")</f>
        <v/>
      </c>
    </row>
    <row r="10" spans="1:14" ht="15" customHeight="1" x14ac:dyDescent="0.35">
      <c r="A10" s="7">
        <v>2022</v>
      </c>
      <c r="B10" s="8" t="s">
        <v>41</v>
      </c>
      <c r="C10" s="28" t="s">
        <v>39</v>
      </c>
      <c r="D10" s="9"/>
      <c r="E10" s="26" t="s">
        <v>45</v>
      </c>
      <c r="F10" s="18" t="s">
        <v>0</v>
      </c>
      <c r="G10" s="2" t="str">
        <f t="shared" si="2"/>
        <v/>
      </c>
    </row>
    <row r="11" spans="1:14" ht="15" customHeight="1" x14ac:dyDescent="0.35">
      <c r="A11" s="7">
        <v>2023</v>
      </c>
      <c r="B11" s="8" t="s">
        <v>41</v>
      </c>
      <c r="C11" s="28" t="s">
        <v>39</v>
      </c>
      <c r="D11" s="9"/>
      <c r="E11" s="26" t="s">
        <v>45</v>
      </c>
      <c r="F11" s="18" t="s">
        <v>0</v>
      </c>
      <c r="G11" s="2" t="str">
        <f t="shared" si="2"/>
        <v/>
      </c>
    </row>
    <row r="12" spans="1:14" ht="15" customHeight="1" x14ac:dyDescent="0.35">
      <c r="A12" s="7">
        <v>2024</v>
      </c>
      <c r="B12" s="8" t="s">
        <v>41</v>
      </c>
      <c r="C12" s="28" t="s">
        <v>39</v>
      </c>
      <c r="D12" s="9"/>
      <c r="E12" s="26" t="s">
        <v>45</v>
      </c>
      <c r="F12" s="18" t="s">
        <v>0</v>
      </c>
      <c r="G12" s="2" t="str">
        <f t="shared" ref="G12:G13" si="3">IF(OR(AND(F12&gt;1,F12&lt;&gt;"-")),"Can exchange","")</f>
        <v/>
      </c>
    </row>
    <row r="13" spans="1:14" ht="15" customHeight="1" x14ac:dyDescent="0.35">
      <c r="A13" s="7">
        <v>2025</v>
      </c>
      <c r="B13" s="8" t="s">
        <v>41</v>
      </c>
      <c r="C13" s="28" t="s">
        <v>39</v>
      </c>
      <c r="D13" s="9"/>
      <c r="E13" s="26" t="s">
        <v>45</v>
      </c>
      <c r="F13" s="18" t="s">
        <v>0</v>
      </c>
      <c r="G13" s="2" t="str">
        <f t="shared" si="3"/>
        <v/>
      </c>
    </row>
    <row r="14" spans="1:14" ht="15" customHeight="1" x14ac:dyDescent="0.35">
      <c r="L14" s="29"/>
      <c r="M14" s="29"/>
      <c r="N14" s="29"/>
    </row>
    <row r="15" spans="1:14" ht="15" customHeight="1" x14ac:dyDescent="0.35">
      <c r="L15" s="29"/>
      <c r="M15" s="29"/>
      <c r="N15" s="29"/>
    </row>
    <row r="16" spans="1:14" ht="15" customHeight="1" x14ac:dyDescent="0.35">
      <c r="L16" s="29"/>
      <c r="M16" s="29"/>
      <c r="N16" s="29"/>
    </row>
    <row r="17" spans="12:14" ht="15" customHeight="1" x14ac:dyDescent="0.35">
      <c r="L17" s="29"/>
      <c r="M17" s="29"/>
      <c r="N17" s="29"/>
    </row>
    <row r="18" spans="12:14" ht="15" customHeight="1" x14ac:dyDescent="0.35">
      <c r="L18" s="29"/>
      <c r="M18" s="29"/>
      <c r="N18" s="29"/>
    </row>
  </sheetData>
  <autoFilter ref="B2:E2" xr:uid="{00000000-0001-0000-0000-000000000000}"/>
  <mergeCells count="2">
    <mergeCell ref="A1:A2"/>
    <mergeCell ref="C1:D1"/>
  </mergeCells>
  <phoneticPr fontId="10" type="noConversion"/>
  <conditionalFormatting sqref="F3:F6">
    <cfRule type="containsText" dxfId="50" priority="27" operator="containsText" text="*-">
      <formula>NOT(ISERROR(SEARCH(("*-"),(F3))))</formula>
    </cfRule>
  </conditionalFormatting>
  <conditionalFormatting sqref="F3:F6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49" priority="5" operator="containsText" text="*-">
      <formula>NOT(ISERROR(SEARCH(("*-"),(F7))))</formula>
    </cfRule>
  </conditionalFormatting>
  <conditionalFormatting sqref="F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:F11">
    <cfRule type="containsText" dxfId="48" priority="3" operator="containsText" text="*-">
      <formula>NOT(ISERROR(SEARCH(("*-"),(F8))))</formula>
    </cfRule>
  </conditionalFormatting>
  <conditionalFormatting sqref="F8:F1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:F13">
    <cfRule type="containsText" dxfId="12" priority="1" operator="containsText" text="*-">
      <formula>NOT(ISERROR(SEARCH(("*-"),(F12))))</formula>
    </cfRule>
  </conditionalFormatting>
  <conditionalFormatting sqref="F12:F1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3" sqref="E12:G1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5" width="12.6328125" style="3" customWidth="1"/>
    <col min="6" max="6" width="3.6328125" style="3" customWidth="1"/>
    <col min="7" max="7" width="12.6328125" style="3" customWidth="1"/>
  </cols>
  <sheetData>
    <row r="1" spans="1:16" ht="15" customHeight="1" x14ac:dyDescent="0.35">
      <c r="A1" s="32" t="s">
        <v>1</v>
      </c>
      <c r="B1" s="31"/>
      <c r="C1" s="34" t="s">
        <v>2</v>
      </c>
      <c r="D1" s="35"/>
      <c r="E1" s="20" t="s">
        <v>3</v>
      </c>
      <c r="F1" s="21" t="s">
        <v>5</v>
      </c>
      <c r="G1" s="1"/>
    </row>
    <row r="2" spans="1:16" ht="15" customHeight="1" x14ac:dyDescent="0.35">
      <c r="A2" s="33"/>
      <c r="B2" s="31" t="s">
        <v>46</v>
      </c>
      <c r="C2" s="4" t="s">
        <v>47</v>
      </c>
      <c r="D2" s="4" t="s">
        <v>48</v>
      </c>
      <c r="E2" s="6" t="s">
        <v>27</v>
      </c>
      <c r="F2" s="17" t="s">
        <v>27</v>
      </c>
      <c r="G2" s="1"/>
    </row>
    <row r="3" spans="1:16" ht="15" customHeight="1" x14ac:dyDescent="0.35">
      <c r="A3" s="7">
        <v>2015</v>
      </c>
      <c r="B3" s="8" t="s">
        <v>41</v>
      </c>
      <c r="C3" s="28" t="s">
        <v>39</v>
      </c>
      <c r="D3" s="9"/>
      <c r="E3" s="10" t="s">
        <v>28</v>
      </c>
      <c r="F3" s="18">
        <v>0</v>
      </c>
      <c r="G3" s="2" t="str">
        <f t="shared" ref="G3:G8" si="0">IF(OR(AND(F3&gt;1,F3&lt;&gt;"-")),"Can exchange","")</f>
        <v/>
      </c>
    </row>
    <row r="4" spans="1:16" ht="15" customHeight="1" x14ac:dyDescent="0.35">
      <c r="A4" s="7">
        <v>2016</v>
      </c>
      <c r="B4" s="5" t="s">
        <v>0</v>
      </c>
      <c r="C4" s="5" t="s">
        <v>0</v>
      </c>
      <c r="D4" s="5" t="s">
        <v>0</v>
      </c>
      <c r="E4" s="25" t="s">
        <v>0</v>
      </c>
      <c r="F4" s="18" t="s">
        <v>0</v>
      </c>
      <c r="G4" s="2" t="str">
        <f t="shared" si="0"/>
        <v/>
      </c>
    </row>
    <row r="5" spans="1:16" ht="15" customHeight="1" x14ac:dyDescent="0.35">
      <c r="A5" s="7">
        <v>2017</v>
      </c>
      <c r="B5" s="8" t="s">
        <v>41</v>
      </c>
      <c r="C5" s="28" t="s">
        <v>39</v>
      </c>
      <c r="D5" s="9"/>
      <c r="E5" s="10" t="s">
        <v>31</v>
      </c>
      <c r="F5" s="18">
        <v>0</v>
      </c>
      <c r="G5" s="2" t="str">
        <f t="shared" si="0"/>
        <v/>
      </c>
    </row>
    <row r="6" spans="1:16" ht="15" customHeight="1" x14ac:dyDescent="0.35">
      <c r="A6" s="7">
        <v>2018</v>
      </c>
      <c r="B6" s="8" t="s">
        <v>41</v>
      </c>
      <c r="C6" s="28" t="s">
        <v>39</v>
      </c>
      <c r="D6" s="9"/>
      <c r="E6" s="26" t="s">
        <v>26</v>
      </c>
      <c r="F6" s="18" t="s">
        <v>0</v>
      </c>
      <c r="G6" s="2" t="str">
        <f t="shared" si="0"/>
        <v/>
      </c>
    </row>
    <row r="7" spans="1:16" ht="15" customHeight="1" x14ac:dyDescent="0.35">
      <c r="A7" s="7">
        <v>2019</v>
      </c>
      <c r="B7" s="8" t="s">
        <v>41</v>
      </c>
      <c r="C7" s="28" t="s">
        <v>39</v>
      </c>
      <c r="D7" s="9"/>
      <c r="E7" s="26" t="s">
        <v>42</v>
      </c>
      <c r="F7" s="18" t="s">
        <v>0</v>
      </c>
      <c r="G7" s="2" t="str">
        <f t="shared" si="0"/>
        <v/>
      </c>
    </row>
    <row r="8" spans="1:16" ht="15" customHeight="1" x14ac:dyDescent="0.35">
      <c r="A8" s="7">
        <v>2020</v>
      </c>
      <c r="B8" s="8" t="s">
        <v>41</v>
      </c>
      <c r="C8" s="28" t="s">
        <v>39</v>
      </c>
      <c r="D8" s="9"/>
      <c r="E8" s="26" t="s">
        <v>42</v>
      </c>
      <c r="F8" s="18" t="s">
        <v>0</v>
      </c>
      <c r="G8" s="2" t="str">
        <f t="shared" si="0"/>
        <v/>
      </c>
    </row>
    <row r="9" spans="1:16" ht="15" customHeight="1" x14ac:dyDescent="0.35">
      <c r="A9" s="7">
        <v>2021</v>
      </c>
      <c r="B9" s="8" t="s">
        <v>41</v>
      </c>
      <c r="C9" s="28" t="s">
        <v>39</v>
      </c>
      <c r="D9" s="9"/>
      <c r="E9" s="26" t="s">
        <v>42</v>
      </c>
      <c r="F9" s="18" t="s">
        <v>0</v>
      </c>
      <c r="G9" s="2" t="str">
        <f t="shared" ref="G9:G13" si="1">IF(OR(AND(F9&gt;1,F9&lt;&gt;"-")),"Can exchange","")</f>
        <v/>
      </c>
    </row>
    <row r="10" spans="1:16" ht="15" customHeight="1" x14ac:dyDescent="0.35">
      <c r="A10" s="7">
        <v>2022</v>
      </c>
      <c r="B10" s="8" t="s">
        <v>41</v>
      </c>
      <c r="C10" s="28" t="s">
        <v>39</v>
      </c>
      <c r="D10" s="9"/>
      <c r="E10" s="26" t="s">
        <v>45</v>
      </c>
      <c r="F10" s="18" t="s">
        <v>0</v>
      </c>
      <c r="G10" s="2" t="str">
        <f t="shared" si="1"/>
        <v/>
      </c>
    </row>
    <row r="11" spans="1:16" ht="15" customHeight="1" x14ac:dyDescent="0.35">
      <c r="A11" s="7">
        <v>2023</v>
      </c>
      <c r="B11" s="8" t="s">
        <v>41</v>
      </c>
      <c r="C11" s="28" t="s">
        <v>39</v>
      </c>
      <c r="D11" s="9"/>
      <c r="E11" s="26" t="s">
        <v>45</v>
      </c>
      <c r="F11" s="18" t="s">
        <v>0</v>
      </c>
      <c r="G11" s="2" t="str">
        <f t="shared" si="1"/>
        <v/>
      </c>
    </row>
    <row r="12" spans="1:16" ht="15" customHeight="1" x14ac:dyDescent="0.35">
      <c r="A12" s="7">
        <v>2024</v>
      </c>
      <c r="B12" s="8" t="s">
        <v>41</v>
      </c>
      <c r="C12" s="28" t="s">
        <v>39</v>
      </c>
      <c r="D12" s="9"/>
      <c r="E12" s="26" t="s">
        <v>45</v>
      </c>
      <c r="F12" s="18" t="s">
        <v>0</v>
      </c>
      <c r="G12" s="2" t="str">
        <f t="shared" si="1"/>
        <v/>
      </c>
    </row>
    <row r="13" spans="1:16" ht="15" customHeight="1" x14ac:dyDescent="0.35">
      <c r="A13" s="7">
        <v>2025</v>
      </c>
      <c r="B13" s="8" t="s">
        <v>41</v>
      </c>
      <c r="C13" s="28" t="s">
        <v>39</v>
      </c>
      <c r="D13" s="9"/>
      <c r="E13" s="26" t="s">
        <v>45</v>
      </c>
      <c r="F13" s="18" t="s">
        <v>0</v>
      </c>
      <c r="G13" s="2" t="str">
        <f t="shared" si="1"/>
        <v/>
      </c>
      <c r="P13" s="29"/>
    </row>
    <row r="14" spans="1:16" ht="15" customHeight="1" x14ac:dyDescent="0.35">
      <c r="P14" s="29"/>
    </row>
    <row r="15" spans="1:16" ht="15" customHeight="1" x14ac:dyDescent="0.35">
      <c r="P15" s="29"/>
    </row>
    <row r="16" spans="1:16" ht="15" customHeight="1" x14ac:dyDescent="0.35">
      <c r="P16" s="29"/>
    </row>
    <row r="17" spans="16:16" ht="15" customHeight="1" x14ac:dyDescent="0.35">
      <c r="P17" s="29"/>
    </row>
  </sheetData>
  <autoFilter ref="B2:E2" xr:uid="{00000000-0001-0000-0100-000000000000}"/>
  <mergeCells count="2">
    <mergeCell ref="A1:A2"/>
    <mergeCell ref="C1:D1"/>
  </mergeCells>
  <phoneticPr fontId="10" type="noConversion"/>
  <conditionalFormatting sqref="F3:F5">
    <cfRule type="containsText" dxfId="47" priority="9" operator="containsText" text="*-">
      <formula>NOT(ISERROR(SEARCH(("*-"),(F3))))</formula>
    </cfRule>
  </conditionalFormatting>
  <conditionalFormatting sqref="F3:F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46" priority="7" operator="containsText" text="*-">
      <formula>NOT(ISERROR(SEARCH(("*-"),(F6))))</formula>
    </cfRule>
  </conditionalFormatting>
  <conditionalFormatting sqref="F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45" priority="5" operator="containsText" text="*-">
      <formula>NOT(ISERROR(SEARCH(("*-"),(F7))))</formula>
    </cfRule>
  </conditionalFormatting>
  <conditionalFormatting sqref="F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:F11">
    <cfRule type="containsText" dxfId="44" priority="3" operator="containsText" text="*-">
      <formula>NOT(ISERROR(SEARCH(("*-"),(F8))))</formula>
    </cfRule>
  </conditionalFormatting>
  <conditionalFormatting sqref="F8:F1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:F13">
    <cfRule type="containsText" dxfId="11" priority="1" operator="containsText" text="*-">
      <formula>NOT(ISERROR(SEARCH(("*-"),(F12))))</formula>
    </cfRule>
  </conditionalFormatting>
  <conditionalFormatting sqref="F12:F1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pane xSplit="7" ySplit="2" topLeftCell="H3" activePane="bottomRight" state="frozen"/>
      <selection pane="topRight" activeCell="J1" sqref="J1"/>
      <selection pane="bottomLeft" activeCell="A3" sqref="A3"/>
      <selection pane="bottomRight" activeCell="E23" sqref="E2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5" width="12.6328125" style="3" customWidth="1"/>
    <col min="6" max="6" width="3.6328125" style="3" customWidth="1"/>
    <col min="7" max="7" width="12.6328125" style="3" customWidth="1"/>
  </cols>
  <sheetData>
    <row r="1" spans="1:7" ht="15" customHeight="1" x14ac:dyDescent="0.35">
      <c r="A1" s="32" t="s">
        <v>1</v>
      </c>
      <c r="B1" s="31"/>
      <c r="C1" s="34" t="s">
        <v>2</v>
      </c>
      <c r="D1" s="35"/>
      <c r="E1" s="20" t="s">
        <v>3</v>
      </c>
      <c r="F1" s="21" t="s">
        <v>6</v>
      </c>
      <c r="G1" s="1"/>
    </row>
    <row r="2" spans="1:7" ht="15" customHeight="1" x14ac:dyDescent="0.35">
      <c r="A2" s="33"/>
      <c r="B2" s="31" t="s">
        <v>46</v>
      </c>
      <c r="C2" s="4" t="s">
        <v>47</v>
      </c>
      <c r="D2" s="4" t="s">
        <v>48</v>
      </c>
      <c r="E2" s="6" t="s">
        <v>27</v>
      </c>
      <c r="F2" s="17" t="s">
        <v>27</v>
      </c>
      <c r="G2" s="1"/>
    </row>
    <row r="3" spans="1:7" ht="15" customHeight="1" x14ac:dyDescent="0.35">
      <c r="A3" s="7">
        <v>2015</v>
      </c>
      <c r="B3" s="8" t="s">
        <v>41</v>
      </c>
      <c r="C3" s="28" t="s">
        <v>39</v>
      </c>
      <c r="D3" s="9"/>
      <c r="E3" s="10" t="s">
        <v>32</v>
      </c>
      <c r="F3" s="18">
        <v>0</v>
      </c>
      <c r="G3" s="2" t="str">
        <f t="shared" ref="G3:G8" si="0">IF(OR(AND(F3&gt;1,F3&lt;&gt;"-")),"Can exchange","")</f>
        <v/>
      </c>
    </row>
    <row r="4" spans="1:7" ht="15" customHeight="1" x14ac:dyDescent="0.35">
      <c r="A4" s="7">
        <v>2016</v>
      </c>
      <c r="B4" s="5" t="s">
        <v>0</v>
      </c>
      <c r="C4" s="5" t="s">
        <v>0</v>
      </c>
      <c r="D4" s="5" t="s">
        <v>0</v>
      </c>
      <c r="E4" s="25" t="s">
        <v>0</v>
      </c>
      <c r="F4" s="18" t="s">
        <v>0</v>
      </c>
      <c r="G4" s="2" t="str">
        <f t="shared" si="0"/>
        <v/>
      </c>
    </row>
    <row r="5" spans="1:7" ht="15" customHeight="1" x14ac:dyDescent="0.35">
      <c r="A5" s="7">
        <v>2017</v>
      </c>
      <c r="B5" s="5" t="s">
        <v>0</v>
      </c>
      <c r="C5" s="5" t="s">
        <v>0</v>
      </c>
      <c r="D5" s="5" t="s">
        <v>0</v>
      </c>
      <c r="E5" s="25" t="s">
        <v>0</v>
      </c>
      <c r="F5" s="18" t="s">
        <v>0</v>
      </c>
      <c r="G5" s="2" t="str">
        <f t="shared" si="0"/>
        <v/>
      </c>
    </row>
    <row r="6" spans="1:7" ht="15" customHeight="1" x14ac:dyDescent="0.35">
      <c r="A6" s="7">
        <v>2018</v>
      </c>
      <c r="B6" s="8" t="s">
        <v>41</v>
      </c>
      <c r="C6" s="28" t="s">
        <v>39</v>
      </c>
      <c r="D6" s="9"/>
      <c r="E6" s="26" t="s">
        <v>26</v>
      </c>
      <c r="F6" s="18" t="s">
        <v>0</v>
      </c>
      <c r="G6" s="2" t="str">
        <f t="shared" si="0"/>
        <v/>
      </c>
    </row>
    <row r="7" spans="1:7" ht="15" customHeight="1" x14ac:dyDescent="0.35">
      <c r="A7" s="7">
        <v>2019</v>
      </c>
      <c r="B7" s="8" t="s">
        <v>41</v>
      </c>
      <c r="C7" s="28" t="s">
        <v>39</v>
      </c>
      <c r="D7" s="9"/>
      <c r="E7" s="26" t="s">
        <v>42</v>
      </c>
      <c r="F7" s="18" t="s">
        <v>0</v>
      </c>
      <c r="G7" s="2" t="str">
        <f t="shared" si="0"/>
        <v/>
      </c>
    </row>
    <row r="8" spans="1:7" ht="15" customHeight="1" x14ac:dyDescent="0.35">
      <c r="A8" s="7">
        <v>2020</v>
      </c>
      <c r="B8" s="8" t="s">
        <v>41</v>
      </c>
      <c r="C8" s="28" t="s">
        <v>39</v>
      </c>
      <c r="D8" s="9"/>
      <c r="E8" s="26" t="s">
        <v>42</v>
      </c>
      <c r="F8" s="18" t="s">
        <v>0</v>
      </c>
      <c r="G8" s="2" t="str">
        <f t="shared" si="0"/>
        <v/>
      </c>
    </row>
    <row r="9" spans="1:7" ht="15" customHeight="1" x14ac:dyDescent="0.35">
      <c r="A9" s="7">
        <v>2021</v>
      </c>
      <c r="B9" s="8" t="s">
        <v>41</v>
      </c>
      <c r="C9" s="28" t="s">
        <v>39</v>
      </c>
      <c r="D9" s="9"/>
      <c r="E9" s="10" t="s">
        <v>53</v>
      </c>
      <c r="F9" s="18">
        <v>0</v>
      </c>
      <c r="G9" s="2" t="str">
        <f t="shared" ref="G9" si="1">IF(OR(AND(F9&gt;1,F9&lt;&gt;"-")),"Can exchange","")</f>
        <v/>
      </c>
    </row>
    <row r="10" spans="1:7" ht="15" customHeight="1" x14ac:dyDescent="0.35">
      <c r="A10" s="7">
        <v>2022</v>
      </c>
      <c r="B10" s="8" t="s">
        <v>41</v>
      </c>
      <c r="C10" s="28" t="s">
        <v>39</v>
      </c>
      <c r="D10" s="9"/>
      <c r="E10" s="10" t="s">
        <v>51</v>
      </c>
      <c r="F10" s="18">
        <v>0</v>
      </c>
      <c r="G10" s="2" t="str">
        <f t="shared" ref="G10:G13" si="2">IF(OR(AND(F10&gt;1,F10&lt;&gt;"-")),"Can exchange","")</f>
        <v/>
      </c>
    </row>
    <row r="11" spans="1:7" ht="15" customHeight="1" x14ac:dyDescent="0.35">
      <c r="A11" s="7">
        <v>2023</v>
      </c>
      <c r="B11" s="8" t="s">
        <v>41</v>
      </c>
      <c r="C11" s="28" t="s">
        <v>39</v>
      </c>
      <c r="D11" s="9"/>
      <c r="E11" s="10" t="s">
        <v>50</v>
      </c>
      <c r="F11" s="18">
        <v>0</v>
      </c>
      <c r="G11" s="2" t="str">
        <f t="shared" si="2"/>
        <v/>
      </c>
    </row>
    <row r="12" spans="1:7" ht="15" customHeight="1" x14ac:dyDescent="0.35">
      <c r="A12" s="7">
        <v>2024</v>
      </c>
      <c r="B12" s="8" t="s">
        <v>41</v>
      </c>
      <c r="C12" s="28" t="s">
        <v>39</v>
      </c>
      <c r="D12" s="9"/>
      <c r="E12" s="10" t="s">
        <v>54</v>
      </c>
      <c r="F12" s="18">
        <v>0</v>
      </c>
      <c r="G12" s="2" t="str">
        <f t="shared" si="2"/>
        <v/>
      </c>
    </row>
    <row r="13" spans="1:7" ht="15" customHeight="1" x14ac:dyDescent="0.35">
      <c r="A13" s="7">
        <v>2025</v>
      </c>
      <c r="B13" s="8" t="s">
        <v>41</v>
      </c>
      <c r="C13" s="28" t="s">
        <v>39</v>
      </c>
      <c r="D13" s="9"/>
      <c r="E13" s="26" t="s">
        <v>45</v>
      </c>
      <c r="F13" s="18" t="s">
        <v>0</v>
      </c>
      <c r="G13" s="2" t="str">
        <f t="shared" si="2"/>
        <v/>
      </c>
    </row>
  </sheetData>
  <autoFilter ref="B2:E2" xr:uid="{00000000-0001-0000-0200-000000000000}"/>
  <mergeCells count="2">
    <mergeCell ref="A1:A2"/>
    <mergeCell ref="C1:D1"/>
  </mergeCells>
  <conditionalFormatting sqref="F3:F5">
    <cfRule type="containsText" dxfId="43" priority="15" operator="containsText" text="*-">
      <formula>NOT(ISERROR(SEARCH(("*-"),(F3))))</formula>
    </cfRule>
  </conditionalFormatting>
  <conditionalFormatting sqref="F3:F5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42" priority="13" operator="containsText" text="*-">
      <formula>NOT(ISERROR(SEARCH(("*-"),(F6))))</formula>
    </cfRule>
  </conditionalFormatting>
  <conditionalFormatting sqref="F6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41" priority="11" operator="containsText" text="*-">
      <formula>NOT(ISERROR(SEARCH(("*-"),(F7))))</formula>
    </cfRule>
  </conditionalFormatting>
  <conditionalFormatting sqref="F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">
    <cfRule type="containsText" dxfId="40" priority="9" operator="containsText" text="*-">
      <formula>NOT(ISERROR(SEARCH(("*-"),(F8))))</formula>
    </cfRule>
  </conditionalFormatting>
  <conditionalFormatting sqref="F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:F11">
    <cfRule type="containsText" dxfId="39" priority="7" operator="containsText" text="*-">
      <formula>NOT(ISERROR(SEARCH(("*-"),(F9))))</formula>
    </cfRule>
  </conditionalFormatting>
  <conditionalFormatting sqref="F9:F1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">
    <cfRule type="containsText" dxfId="9" priority="3" operator="containsText" text="*-">
      <formula>NOT(ISERROR(SEARCH(("*-"),(F12))))</formula>
    </cfRule>
  </conditionalFormatting>
  <conditionalFormatting sqref="F1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">
    <cfRule type="containsText" dxfId="8" priority="1" operator="containsText" text="*-">
      <formula>NOT(ISERROR(SEARCH(("*-"),(F13))))</formula>
    </cfRule>
  </conditionalFormatting>
  <conditionalFormatting sqref="F1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4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2" sqref="A12:G1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5" width="12.6328125" style="3" customWidth="1"/>
    <col min="6" max="6" width="3.6328125" style="3" customWidth="1"/>
    <col min="7" max="7" width="12.6328125" style="3" customWidth="1"/>
  </cols>
  <sheetData>
    <row r="1" spans="1:18" ht="15" customHeight="1" x14ac:dyDescent="0.35">
      <c r="A1" s="36" t="s">
        <v>1</v>
      </c>
      <c r="B1" s="31"/>
      <c r="C1" s="34" t="s">
        <v>2</v>
      </c>
      <c r="D1" s="38"/>
      <c r="E1" s="20" t="s">
        <v>3</v>
      </c>
      <c r="F1" s="22" t="s">
        <v>7</v>
      </c>
      <c r="G1" s="1"/>
    </row>
    <row r="2" spans="1:18" ht="15" customHeight="1" x14ac:dyDescent="0.35">
      <c r="A2" s="37"/>
      <c r="B2" s="31" t="s">
        <v>46</v>
      </c>
      <c r="C2" s="4" t="s">
        <v>47</v>
      </c>
      <c r="D2" s="4" t="s">
        <v>49</v>
      </c>
      <c r="E2" s="6" t="s">
        <v>27</v>
      </c>
      <c r="F2" s="17" t="s">
        <v>27</v>
      </c>
      <c r="G2" s="1"/>
    </row>
    <row r="3" spans="1:18" ht="15" customHeight="1" x14ac:dyDescent="0.35">
      <c r="A3" s="7">
        <v>2015</v>
      </c>
      <c r="B3" s="8" t="s">
        <v>41</v>
      </c>
      <c r="C3" s="28" t="s">
        <v>39</v>
      </c>
      <c r="D3" s="9" t="s">
        <v>40</v>
      </c>
      <c r="E3" s="10" t="s">
        <v>33</v>
      </c>
      <c r="F3" s="18">
        <v>0</v>
      </c>
      <c r="G3" s="2" t="str">
        <f t="shared" ref="G3:G8" si="0">IF(OR(AND(F3&gt;1,F3&lt;&gt;"-")),"Can exchange","")</f>
        <v/>
      </c>
    </row>
    <row r="4" spans="1:18" ht="15" customHeight="1" x14ac:dyDescent="0.35">
      <c r="A4" s="7">
        <v>2016</v>
      </c>
      <c r="B4" s="5" t="s">
        <v>0</v>
      </c>
      <c r="C4" s="5" t="s">
        <v>0</v>
      </c>
      <c r="D4" s="5" t="s">
        <v>0</v>
      </c>
      <c r="E4" s="27" t="s">
        <v>0</v>
      </c>
      <c r="F4" s="18" t="s">
        <v>0</v>
      </c>
      <c r="G4" s="2" t="str">
        <f t="shared" si="0"/>
        <v/>
      </c>
    </row>
    <row r="5" spans="1:18" ht="15" customHeight="1" x14ac:dyDescent="0.35">
      <c r="A5" s="7">
        <v>2017</v>
      </c>
      <c r="B5" s="8" t="s">
        <v>41</v>
      </c>
      <c r="C5" s="28" t="s">
        <v>39</v>
      </c>
      <c r="D5" s="9" t="s">
        <v>40</v>
      </c>
      <c r="E5" s="10" t="s">
        <v>34</v>
      </c>
      <c r="F5" s="18">
        <v>0</v>
      </c>
      <c r="G5" s="2" t="str">
        <f t="shared" si="0"/>
        <v/>
      </c>
    </row>
    <row r="6" spans="1:18" ht="15" customHeight="1" x14ac:dyDescent="0.35">
      <c r="A6" s="7">
        <v>2018</v>
      </c>
      <c r="B6" s="8" t="s">
        <v>41</v>
      </c>
      <c r="C6" s="28" t="s">
        <v>39</v>
      </c>
      <c r="D6" s="9" t="s">
        <v>40</v>
      </c>
      <c r="E6" s="26" t="s">
        <v>26</v>
      </c>
      <c r="F6" s="18" t="s">
        <v>0</v>
      </c>
      <c r="G6" s="2" t="str">
        <f t="shared" si="0"/>
        <v/>
      </c>
    </row>
    <row r="7" spans="1:18" ht="15" customHeight="1" x14ac:dyDescent="0.35">
      <c r="A7" s="7">
        <v>2019</v>
      </c>
      <c r="B7" s="8" t="s">
        <v>41</v>
      </c>
      <c r="C7" s="28" t="s">
        <v>39</v>
      </c>
      <c r="D7" s="9" t="s">
        <v>40</v>
      </c>
      <c r="E7" s="26" t="s">
        <v>42</v>
      </c>
      <c r="F7" s="18" t="s">
        <v>0</v>
      </c>
      <c r="G7" s="2" t="str">
        <f t="shared" si="0"/>
        <v/>
      </c>
    </row>
    <row r="8" spans="1:18" ht="15" customHeight="1" x14ac:dyDescent="0.35">
      <c r="A8" s="7">
        <v>2020</v>
      </c>
      <c r="B8" s="8" t="s">
        <v>41</v>
      </c>
      <c r="C8" s="28" t="s">
        <v>39</v>
      </c>
      <c r="D8" s="9" t="s">
        <v>40</v>
      </c>
      <c r="E8" s="26" t="s">
        <v>42</v>
      </c>
      <c r="F8" s="18" t="s">
        <v>0</v>
      </c>
      <c r="G8" s="2" t="str">
        <f t="shared" si="0"/>
        <v/>
      </c>
    </row>
    <row r="9" spans="1:18" ht="15" customHeight="1" x14ac:dyDescent="0.35">
      <c r="A9" s="7">
        <v>2021</v>
      </c>
      <c r="B9" s="8" t="s">
        <v>41</v>
      </c>
      <c r="C9" s="28" t="s">
        <v>39</v>
      </c>
      <c r="D9" s="9" t="s">
        <v>40</v>
      </c>
      <c r="E9" s="10" t="s">
        <v>44</v>
      </c>
      <c r="F9" s="18">
        <v>0</v>
      </c>
      <c r="G9" s="2" t="str">
        <f t="shared" ref="G9:G13" si="1">IF(OR(AND(F9&gt;1,F9&lt;&gt;"-")),"Can exchange","")</f>
        <v/>
      </c>
    </row>
    <row r="10" spans="1:18" ht="15" customHeight="1" x14ac:dyDescent="0.35">
      <c r="A10" s="7">
        <v>2022</v>
      </c>
      <c r="B10" s="8" t="s">
        <v>41</v>
      </c>
      <c r="C10" s="28" t="s">
        <v>39</v>
      </c>
      <c r="D10" s="9" t="s">
        <v>40</v>
      </c>
      <c r="E10" s="26" t="s">
        <v>45</v>
      </c>
      <c r="F10" s="18" t="s">
        <v>0</v>
      </c>
      <c r="G10" s="2" t="str">
        <f t="shared" si="1"/>
        <v/>
      </c>
      <c r="R10" s="29"/>
    </row>
    <row r="11" spans="1:18" ht="15" customHeight="1" x14ac:dyDescent="0.35">
      <c r="A11" s="7">
        <v>2023</v>
      </c>
      <c r="B11" s="8" t="s">
        <v>41</v>
      </c>
      <c r="C11" s="28" t="s">
        <v>39</v>
      </c>
      <c r="D11" s="9" t="s">
        <v>40</v>
      </c>
      <c r="E11" s="10" t="s">
        <v>43</v>
      </c>
      <c r="F11" s="18">
        <v>0</v>
      </c>
      <c r="G11" s="2" t="str">
        <f t="shared" si="1"/>
        <v/>
      </c>
      <c r="R11" s="29"/>
    </row>
    <row r="12" spans="1:18" ht="15" customHeight="1" x14ac:dyDescent="0.35">
      <c r="A12" s="7">
        <v>2024</v>
      </c>
      <c r="B12" s="8" t="s">
        <v>41</v>
      </c>
      <c r="C12" s="28" t="s">
        <v>39</v>
      </c>
      <c r="D12" s="9" t="s">
        <v>40</v>
      </c>
      <c r="E12" s="26" t="s">
        <v>45</v>
      </c>
      <c r="F12" s="18" t="s">
        <v>0</v>
      </c>
      <c r="G12" s="2" t="str">
        <f t="shared" si="1"/>
        <v/>
      </c>
      <c r="R12" s="29"/>
    </row>
    <row r="13" spans="1:18" ht="15" customHeight="1" x14ac:dyDescent="0.35">
      <c r="A13" s="7">
        <v>2025</v>
      </c>
      <c r="B13" s="8" t="s">
        <v>41</v>
      </c>
      <c r="C13" s="28" t="s">
        <v>39</v>
      </c>
      <c r="D13" s="9" t="s">
        <v>40</v>
      </c>
      <c r="E13" s="26" t="s">
        <v>45</v>
      </c>
      <c r="F13" s="18" t="s">
        <v>0</v>
      </c>
      <c r="G13" s="2" t="str">
        <f t="shared" si="1"/>
        <v/>
      </c>
      <c r="R13" s="29"/>
    </row>
    <row r="14" spans="1:18" ht="15" customHeight="1" x14ac:dyDescent="0.35">
      <c r="R14" s="29"/>
    </row>
  </sheetData>
  <autoFilter ref="B2:E2" xr:uid="{00000000-0001-0000-0300-000000000000}"/>
  <mergeCells count="2">
    <mergeCell ref="A1:A2"/>
    <mergeCell ref="C1:D1"/>
  </mergeCells>
  <phoneticPr fontId="10" type="noConversion"/>
  <conditionalFormatting sqref="F3:F5">
    <cfRule type="containsText" dxfId="38" priority="13" operator="containsText" text="*-">
      <formula>NOT(ISERROR(SEARCH(("*-"),(F3))))</formula>
    </cfRule>
  </conditionalFormatting>
  <conditionalFormatting sqref="F3:F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37" priority="11" operator="containsText" text="*-">
      <formula>NOT(ISERROR(SEARCH(("*-"),(F6))))</formula>
    </cfRule>
  </conditionalFormatting>
  <conditionalFormatting sqref="F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36" priority="9" operator="containsText" text="*-">
      <formula>NOT(ISERROR(SEARCH(("*-"),(F7))))</formula>
    </cfRule>
  </conditionalFormatting>
  <conditionalFormatting sqref="F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 F10">
    <cfRule type="containsText" dxfId="35" priority="7" operator="containsText" text="*-">
      <formula>NOT(ISERROR(SEARCH(("*-"),(F8))))</formula>
    </cfRule>
  </conditionalFormatting>
  <conditionalFormatting sqref="F10 F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">
    <cfRule type="containsText" dxfId="34" priority="5" operator="containsText" text="*-">
      <formula>NOT(ISERROR(SEARCH(("*-"),(F9))))</formula>
    </cfRule>
  </conditionalFormatting>
  <conditionalFormatting sqref="F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">
    <cfRule type="containsText" dxfId="33" priority="3" operator="containsText" text="*-">
      <formula>NOT(ISERROR(SEARCH(("*-"),(F11))))</formula>
    </cfRule>
  </conditionalFormatting>
  <conditionalFormatting sqref="F1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:F13">
    <cfRule type="containsText" dxfId="7" priority="1" operator="containsText" text="*-">
      <formula>NOT(ISERROR(SEARCH(("*-"),(F12))))</formula>
    </cfRule>
  </conditionalFormatting>
  <conditionalFormatting sqref="F12:F1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8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12" sqref="A12:G1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5" width="12.6328125" style="3" customWidth="1"/>
    <col min="6" max="6" width="3.6328125" style="3" customWidth="1"/>
    <col min="7" max="7" width="12.6328125" style="3" customWidth="1"/>
  </cols>
  <sheetData>
    <row r="1" spans="1:19" ht="15" customHeight="1" x14ac:dyDescent="0.35">
      <c r="A1" s="36" t="s">
        <v>1</v>
      </c>
      <c r="B1" s="31"/>
      <c r="C1" s="34" t="s">
        <v>2</v>
      </c>
      <c r="D1" s="38"/>
      <c r="E1" s="20" t="s">
        <v>3</v>
      </c>
      <c r="F1" s="21" t="s">
        <v>8</v>
      </c>
      <c r="G1" s="1"/>
    </row>
    <row r="2" spans="1:19" ht="15" customHeight="1" x14ac:dyDescent="0.35">
      <c r="A2" s="37"/>
      <c r="B2" s="31" t="s">
        <v>46</v>
      </c>
      <c r="C2" s="4" t="s">
        <v>47</v>
      </c>
      <c r="D2" s="4" t="s">
        <v>49</v>
      </c>
      <c r="E2" s="6" t="s">
        <v>27</v>
      </c>
      <c r="F2" s="17" t="s">
        <v>27</v>
      </c>
      <c r="G2" s="1"/>
    </row>
    <row r="3" spans="1:19" ht="15" customHeight="1" x14ac:dyDescent="0.35">
      <c r="A3" s="7">
        <v>2015</v>
      </c>
      <c r="B3" s="8" t="s">
        <v>41</v>
      </c>
      <c r="C3" s="28" t="s">
        <v>39</v>
      </c>
      <c r="D3" s="9" t="s">
        <v>40</v>
      </c>
      <c r="E3" s="10" t="s">
        <v>33</v>
      </c>
      <c r="F3" s="18">
        <v>0</v>
      </c>
      <c r="G3" s="2" t="str">
        <f t="shared" ref="G3:G8" si="0">IF(OR(AND(F3&gt;1,F3&lt;&gt;"-")),"Can exchange","")</f>
        <v/>
      </c>
    </row>
    <row r="4" spans="1:19" ht="15" customHeight="1" x14ac:dyDescent="0.35">
      <c r="A4" s="7">
        <v>2016</v>
      </c>
      <c r="B4" s="25" t="s">
        <v>0</v>
      </c>
      <c r="C4" s="25" t="s">
        <v>0</v>
      </c>
      <c r="D4" s="25" t="s">
        <v>0</v>
      </c>
      <c r="E4" s="25" t="s">
        <v>0</v>
      </c>
      <c r="F4" s="18" t="s">
        <v>0</v>
      </c>
      <c r="G4" s="2" t="str">
        <f t="shared" si="0"/>
        <v/>
      </c>
    </row>
    <row r="5" spans="1:19" ht="15" customHeight="1" x14ac:dyDescent="0.35">
      <c r="A5" s="7">
        <v>2017</v>
      </c>
      <c r="B5" s="8" t="s">
        <v>41</v>
      </c>
      <c r="C5" s="28" t="s">
        <v>39</v>
      </c>
      <c r="D5" s="9" t="s">
        <v>40</v>
      </c>
      <c r="E5" s="10" t="s">
        <v>35</v>
      </c>
      <c r="F5" s="18">
        <v>0</v>
      </c>
      <c r="G5" s="2" t="str">
        <f t="shared" si="0"/>
        <v/>
      </c>
    </row>
    <row r="6" spans="1:19" ht="15" customHeight="1" x14ac:dyDescent="0.35">
      <c r="A6" s="7">
        <v>2018</v>
      </c>
      <c r="B6" s="8" t="s">
        <v>41</v>
      </c>
      <c r="C6" s="28" t="s">
        <v>39</v>
      </c>
      <c r="D6" s="9" t="s">
        <v>40</v>
      </c>
      <c r="E6" s="26" t="s">
        <v>26</v>
      </c>
      <c r="F6" s="18" t="s">
        <v>0</v>
      </c>
      <c r="G6" s="2" t="str">
        <f t="shared" si="0"/>
        <v/>
      </c>
    </row>
    <row r="7" spans="1:19" ht="15" customHeight="1" x14ac:dyDescent="0.35">
      <c r="A7" s="7">
        <v>2019</v>
      </c>
      <c r="B7" s="8" t="s">
        <v>41</v>
      </c>
      <c r="C7" s="28" t="s">
        <v>39</v>
      </c>
      <c r="D7" s="9" t="s">
        <v>40</v>
      </c>
      <c r="E7" s="26" t="s">
        <v>42</v>
      </c>
      <c r="F7" s="18" t="s">
        <v>0</v>
      </c>
      <c r="G7" s="2" t="str">
        <f t="shared" si="0"/>
        <v/>
      </c>
    </row>
    <row r="8" spans="1:19" ht="15" customHeight="1" x14ac:dyDescent="0.35">
      <c r="A8" s="7">
        <v>2020</v>
      </c>
      <c r="B8" s="8" t="s">
        <v>41</v>
      </c>
      <c r="C8" s="28" t="s">
        <v>39</v>
      </c>
      <c r="D8" s="9" t="s">
        <v>40</v>
      </c>
      <c r="E8" s="26" t="s">
        <v>42</v>
      </c>
      <c r="F8" s="18" t="s">
        <v>0</v>
      </c>
      <c r="G8" s="2" t="str">
        <f t="shared" si="0"/>
        <v/>
      </c>
    </row>
    <row r="9" spans="1:19" ht="15" customHeight="1" x14ac:dyDescent="0.35">
      <c r="A9" s="7">
        <v>2021</v>
      </c>
      <c r="B9" s="8" t="s">
        <v>41</v>
      </c>
      <c r="C9" s="28" t="s">
        <v>39</v>
      </c>
      <c r="D9" s="9" t="s">
        <v>40</v>
      </c>
      <c r="E9" s="26" t="s">
        <v>42</v>
      </c>
      <c r="F9" s="18" t="s">
        <v>0</v>
      </c>
      <c r="G9" s="2" t="str">
        <f t="shared" ref="G9:G13" si="1">IF(OR(AND(F9&gt;1,F9&lt;&gt;"-")),"Can exchange","")</f>
        <v/>
      </c>
    </row>
    <row r="10" spans="1:19" ht="15" customHeight="1" x14ac:dyDescent="0.35">
      <c r="A10" s="7">
        <v>2022</v>
      </c>
      <c r="B10" s="8" t="s">
        <v>41</v>
      </c>
      <c r="C10" s="28" t="s">
        <v>39</v>
      </c>
      <c r="D10" s="9" t="s">
        <v>40</v>
      </c>
      <c r="E10" s="26" t="s">
        <v>45</v>
      </c>
      <c r="F10" s="18" t="s">
        <v>0</v>
      </c>
      <c r="G10" s="2" t="str">
        <f t="shared" si="1"/>
        <v/>
      </c>
    </row>
    <row r="11" spans="1:19" ht="15" customHeight="1" x14ac:dyDescent="0.35">
      <c r="A11" s="7">
        <v>2023</v>
      </c>
      <c r="B11" s="8" t="s">
        <v>41</v>
      </c>
      <c r="C11" s="28" t="s">
        <v>39</v>
      </c>
      <c r="D11" s="9" t="s">
        <v>40</v>
      </c>
      <c r="E11" s="26" t="s">
        <v>45</v>
      </c>
      <c r="F11" s="18" t="s">
        <v>0</v>
      </c>
      <c r="G11" s="2" t="str">
        <f t="shared" si="1"/>
        <v/>
      </c>
    </row>
    <row r="12" spans="1:19" ht="15" customHeight="1" x14ac:dyDescent="0.35">
      <c r="A12" s="7">
        <v>2024</v>
      </c>
      <c r="B12" s="8" t="s">
        <v>41</v>
      </c>
      <c r="C12" s="28" t="s">
        <v>39</v>
      </c>
      <c r="D12" s="9" t="s">
        <v>40</v>
      </c>
      <c r="E12" s="26" t="s">
        <v>45</v>
      </c>
      <c r="F12" s="18" t="s">
        <v>0</v>
      </c>
      <c r="G12" s="2" t="str">
        <f t="shared" si="1"/>
        <v/>
      </c>
    </row>
    <row r="13" spans="1:19" ht="15" customHeight="1" x14ac:dyDescent="0.35">
      <c r="A13" s="7">
        <v>2025</v>
      </c>
      <c r="B13" s="8" t="s">
        <v>41</v>
      </c>
      <c r="C13" s="28" t="s">
        <v>39</v>
      </c>
      <c r="D13" s="9" t="s">
        <v>40</v>
      </c>
      <c r="E13" s="26" t="s">
        <v>45</v>
      </c>
      <c r="F13" s="18" t="s">
        <v>0</v>
      </c>
      <c r="G13" s="2" t="str">
        <f t="shared" si="1"/>
        <v/>
      </c>
    </row>
    <row r="14" spans="1:19" ht="15" customHeight="1" x14ac:dyDescent="0.35">
      <c r="S14" s="29"/>
    </row>
    <row r="15" spans="1:19" ht="15" customHeight="1" x14ac:dyDescent="0.35">
      <c r="S15" s="29"/>
    </row>
    <row r="16" spans="1:19" ht="15" customHeight="1" x14ac:dyDescent="0.35">
      <c r="S16" s="29"/>
    </row>
    <row r="17" spans="19:19" ht="15" customHeight="1" x14ac:dyDescent="0.35">
      <c r="S17" s="29"/>
    </row>
    <row r="18" spans="19:19" ht="15" customHeight="1" x14ac:dyDescent="0.35">
      <c r="S18" s="29"/>
    </row>
  </sheetData>
  <autoFilter ref="B2:E2" xr:uid="{00000000-0001-0000-0400-000000000000}"/>
  <mergeCells count="2">
    <mergeCell ref="A1:A2"/>
    <mergeCell ref="C1:D1"/>
  </mergeCells>
  <phoneticPr fontId="10" type="noConversion"/>
  <conditionalFormatting sqref="F3:F5">
    <cfRule type="containsText" dxfId="32" priority="9" operator="containsText" text="*-">
      <formula>NOT(ISERROR(SEARCH(("*-"),(F3))))</formula>
    </cfRule>
  </conditionalFormatting>
  <conditionalFormatting sqref="F3:F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31" priority="7" operator="containsText" text="*-">
      <formula>NOT(ISERROR(SEARCH(("*-"),(F6))))</formula>
    </cfRule>
  </conditionalFormatting>
  <conditionalFormatting sqref="F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30" priority="5" operator="containsText" text="*-">
      <formula>NOT(ISERROR(SEARCH(("*-"),(F7))))</formula>
    </cfRule>
  </conditionalFormatting>
  <conditionalFormatting sqref="F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:F11">
    <cfRule type="containsText" dxfId="29" priority="3" operator="containsText" text="*-">
      <formula>NOT(ISERROR(SEARCH(("*-"),(F8))))</formula>
    </cfRule>
  </conditionalFormatting>
  <conditionalFormatting sqref="F8:F1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:F13">
    <cfRule type="containsText" dxfId="6" priority="1" operator="containsText" text="*-">
      <formula>NOT(ISERROR(SEARCH(("*-"),(F12))))</formula>
    </cfRule>
  </conditionalFormatting>
  <conditionalFormatting sqref="F12:F1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7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12" sqref="A12:G1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5" width="12.6328125" style="3" customWidth="1"/>
    <col min="6" max="6" width="3.6328125" style="3" customWidth="1"/>
    <col min="7" max="7" width="12.6328125" style="3" customWidth="1"/>
  </cols>
  <sheetData>
    <row r="1" spans="1:20" ht="15" customHeight="1" x14ac:dyDescent="0.35">
      <c r="A1" s="36" t="s">
        <v>1</v>
      </c>
      <c r="B1" s="31"/>
      <c r="C1" s="34" t="s">
        <v>2</v>
      </c>
      <c r="D1" s="38"/>
      <c r="E1" s="20" t="s">
        <v>3</v>
      </c>
      <c r="F1" s="21" t="s">
        <v>9</v>
      </c>
      <c r="G1" s="1"/>
    </row>
    <row r="2" spans="1:20" ht="15" customHeight="1" x14ac:dyDescent="0.35">
      <c r="A2" s="37"/>
      <c r="B2" s="31" t="s">
        <v>46</v>
      </c>
      <c r="C2" s="4" t="s">
        <v>47</v>
      </c>
      <c r="D2" s="4" t="s">
        <v>49</v>
      </c>
      <c r="E2" s="6" t="s">
        <v>27</v>
      </c>
      <c r="F2" s="17" t="s">
        <v>27</v>
      </c>
      <c r="G2" s="1"/>
    </row>
    <row r="3" spans="1:20" ht="15" customHeight="1" x14ac:dyDescent="0.35">
      <c r="A3" s="7">
        <v>2015</v>
      </c>
      <c r="B3" s="8" t="s">
        <v>41</v>
      </c>
      <c r="C3" s="28" t="s">
        <v>39</v>
      </c>
      <c r="D3" s="9" t="s">
        <v>40</v>
      </c>
      <c r="E3" s="10" t="s">
        <v>36</v>
      </c>
      <c r="F3" s="18">
        <v>0</v>
      </c>
      <c r="G3" s="2" t="str">
        <f t="shared" ref="G3:G8" si="0">IF(OR(AND(F3&gt;1,F3&lt;&gt;"-")),"Can exchange","")</f>
        <v/>
      </c>
    </row>
    <row r="4" spans="1:20" ht="15" customHeight="1" x14ac:dyDescent="0.35">
      <c r="A4" s="7">
        <v>2016</v>
      </c>
      <c r="B4" s="5" t="s">
        <v>0</v>
      </c>
      <c r="C4" s="5" t="s">
        <v>0</v>
      </c>
      <c r="D4" s="5" t="s">
        <v>0</v>
      </c>
      <c r="E4" s="5" t="s">
        <v>0</v>
      </c>
      <c r="F4" s="18" t="s">
        <v>0</v>
      </c>
      <c r="G4" s="2" t="str">
        <f t="shared" si="0"/>
        <v/>
      </c>
    </row>
    <row r="5" spans="1:20" ht="15" customHeight="1" x14ac:dyDescent="0.35">
      <c r="A5" s="7">
        <v>2017</v>
      </c>
      <c r="B5" s="5" t="s">
        <v>0</v>
      </c>
      <c r="C5" s="5" t="s">
        <v>0</v>
      </c>
      <c r="D5" s="5" t="s">
        <v>0</v>
      </c>
      <c r="E5" s="5" t="s">
        <v>0</v>
      </c>
      <c r="F5" s="18" t="s">
        <v>0</v>
      </c>
      <c r="G5" s="2" t="str">
        <f t="shared" si="0"/>
        <v/>
      </c>
    </row>
    <row r="6" spans="1:20" ht="15" customHeight="1" x14ac:dyDescent="0.35">
      <c r="A6" s="7">
        <v>2018</v>
      </c>
      <c r="B6" s="8" t="s">
        <v>41</v>
      </c>
      <c r="C6" s="28" t="s">
        <v>39</v>
      </c>
      <c r="D6" s="9" t="s">
        <v>40</v>
      </c>
      <c r="E6" s="26" t="s">
        <v>26</v>
      </c>
      <c r="F6" s="18" t="s">
        <v>0</v>
      </c>
      <c r="G6" s="2" t="str">
        <f t="shared" si="0"/>
        <v/>
      </c>
    </row>
    <row r="7" spans="1:20" ht="15" customHeight="1" x14ac:dyDescent="0.35">
      <c r="A7" s="7">
        <v>2019</v>
      </c>
      <c r="B7" s="8" t="s">
        <v>41</v>
      </c>
      <c r="C7" s="28" t="s">
        <v>39</v>
      </c>
      <c r="D7" s="9" t="s">
        <v>40</v>
      </c>
      <c r="E7" s="26" t="s">
        <v>42</v>
      </c>
      <c r="F7" s="18" t="s">
        <v>0</v>
      </c>
      <c r="G7" s="2" t="str">
        <f t="shared" si="0"/>
        <v/>
      </c>
    </row>
    <row r="8" spans="1:20" ht="15" customHeight="1" x14ac:dyDescent="0.35">
      <c r="A8" s="7">
        <v>2020</v>
      </c>
      <c r="B8" s="8" t="s">
        <v>41</v>
      </c>
      <c r="C8" s="28" t="s">
        <v>39</v>
      </c>
      <c r="D8" s="9" t="s">
        <v>40</v>
      </c>
      <c r="E8" s="26" t="s">
        <v>42</v>
      </c>
      <c r="F8" s="18" t="s">
        <v>0</v>
      </c>
      <c r="G8" s="2" t="str">
        <f t="shared" si="0"/>
        <v/>
      </c>
    </row>
    <row r="9" spans="1:20" ht="15" customHeight="1" x14ac:dyDescent="0.35">
      <c r="A9" s="7">
        <v>2021</v>
      </c>
      <c r="B9" s="8" t="s">
        <v>41</v>
      </c>
      <c r="C9" s="28" t="s">
        <v>39</v>
      </c>
      <c r="D9" s="9" t="s">
        <v>40</v>
      </c>
      <c r="E9" s="26" t="s">
        <v>42</v>
      </c>
      <c r="F9" s="18" t="s">
        <v>0</v>
      </c>
      <c r="G9" s="2" t="str">
        <f t="shared" ref="G9:G13" si="1">IF(OR(AND(F9&gt;1,F9&lt;&gt;"-")),"Can exchange","")</f>
        <v/>
      </c>
    </row>
    <row r="10" spans="1:20" ht="15" customHeight="1" x14ac:dyDescent="0.35">
      <c r="A10" s="7">
        <v>2022</v>
      </c>
      <c r="B10" s="8" t="s">
        <v>41</v>
      </c>
      <c r="C10" s="28" t="s">
        <v>39</v>
      </c>
      <c r="D10" s="9" t="s">
        <v>40</v>
      </c>
      <c r="E10" s="26" t="s">
        <v>45</v>
      </c>
      <c r="F10" s="18" t="s">
        <v>0</v>
      </c>
      <c r="G10" s="2" t="str">
        <f t="shared" si="1"/>
        <v/>
      </c>
    </row>
    <row r="11" spans="1:20" ht="15" customHeight="1" x14ac:dyDescent="0.35">
      <c r="A11" s="7">
        <v>2023</v>
      </c>
      <c r="B11" s="8" t="s">
        <v>41</v>
      </c>
      <c r="C11" s="28" t="s">
        <v>39</v>
      </c>
      <c r="D11" s="9" t="s">
        <v>40</v>
      </c>
      <c r="E11" s="26" t="s">
        <v>45</v>
      </c>
      <c r="F11" s="18" t="s">
        <v>0</v>
      </c>
      <c r="G11" s="2" t="str">
        <f t="shared" si="1"/>
        <v/>
      </c>
    </row>
    <row r="12" spans="1:20" ht="15" customHeight="1" x14ac:dyDescent="0.35">
      <c r="A12" s="7">
        <v>2024</v>
      </c>
      <c r="B12" s="8" t="s">
        <v>41</v>
      </c>
      <c r="C12" s="28" t="s">
        <v>39</v>
      </c>
      <c r="D12" s="9" t="s">
        <v>40</v>
      </c>
      <c r="E12" s="26" t="s">
        <v>45</v>
      </c>
      <c r="F12" s="18" t="s">
        <v>0</v>
      </c>
      <c r="G12" s="2" t="str">
        <f t="shared" si="1"/>
        <v/>
      </c>
    </row>
    <row r="13" spans="1:20" ht="15" customHeight="1" x14ac:dyDescent="0.35">
      <c r="A13" s="7">
        <v>2025</v>
      </c>
      <c r="B13" s="8" t="s">
        <v>41</v>
      </c>
      <c r="C13" s="28" t="s">
        <v>39</v>
      </c>
      <c r="D13" s="9" t="s">
        <v>40</v>
      </c>
      <c r="E13" s="26" t="s">
        <v>45</v>
      </c>
      <c r="F13" s="18" t="s">
        <v>0</v>
      </c>
      <c r="G13" s="2" t="str">
        <f t="shared" si="1"/>
        <v/>
      </c>
      <c r="T13" s="29"/>
    </row>
    <row r="14" spans="1:20" ht="15" customHeight="1" x14ac:dyDescent="0.35">
      <c r="T14" s="29"/>
    </row>
    <row r="15" spans="1:20" ht="15" customHeight="1" x14ac:dyDescent="0.35">
      <c r="T15" s="29"/>
    </row>
    <row r="16" spans="1:20" ht="15" customHeight="1" x14ac:dyDescent="0.35">
      <c r="T16" s="29"/>
    </row>
    <row r="17" spans="20:20" ht="15" customHeight="1" x14ac:dyDescent="0.35">
      <c r="T17" s="30"/>
    </row>
  </sheetData>
  <autoFilter ref="B2:E2" xr:uid="{00000000-0001-0000-0500-000000000000}"/>
  <mergeCells count="2">
    <mergeCell ref="A1:A2"/>
    <mergeCell ref="C1:D1"/>
  </mergeCells>
  <phoneticPr fontId="10" type="noConversion"/>
  <conditionalFormatting sqref="F3:F5">
    <cfRule type="containsText" dxfId="28" priority="9" operator="containsText" text="*-">
      <formula>NOT(ISERROR(SEARCH(("*-"),(F3))))</formula>
    </cfRule>
  </conditionalFormatting>
  <conditionalFormatting sqref="F3:F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27" priority="7" operator="containsText" text="*-">
      <formula>NOT(ISERROR(SEARCH(("*-"),(F6))))</formula>
    </cfRule>
  </conditionalFormatting>
  <conditionalFormatting sqref="F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26" priority="5" operator="containsText" text="*-">
      <formula>NOT(ISERROR(SEARCH(("*-"),(F7))))</formula>
    </cfRule>
  </conditionalFormatting>
  <conditionalFormatting sqref="F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:F11">
    <cfRule type="containsText" dxfId="25" priority="3" operator="containsText" text="*-">
      <formula>NOT(ISERROR(SEARCH(("*-"),(F8))))</formula>
    </cfRule>
  </conditionalFormatting>
  <conditionalFormatting sqref="F8:F1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:F13">
    <cfRule type="containsText" dxfId="5" priority="1" operator="containsText" text="*-">
      <formula>NOT(ISERROR(SEARCH(("*-"),(F12))))</formula>
    </cfRule>
  </conditionalFormatting>
  <conditionalFormatting sqref="F12:F1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12" sqref="A12:G1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5" width="12.6328125" style="3" customWidth="1"/>
    <col min="6" max="6" width="3.6328125" style="3" customWidth="1"/>
    <col min="7" max="7" width="12.6328125" style="3" customWidth="1"/>
  </cols>
  <sheetData>
    <row r="1" spans="1:20" ht="15" customHeight="1" x14ac:dyDescent="0.35">
      <c r="A1" s="36" t="s">
        <v>1</v>
      </c>
      <c r="B1" s="31"/>
      <c r="C1" s="34" t="s">
        <v>2</v>
      </c>
      <c r="D1" s="38"/>
      <c r="E1" s="20" t="s">
        <v>3</v>
      </c>
      <c r="F1" s="23" t="s">
        <v>10</v>
      </c>
      <c r="G1" s="1"/>
    </row>
    <row r="2" spans="1:20" ht="15" customHeight="1" x14ac:dyDescent="0.35">
      <c r="A2" s="37"/>
      <c r="B2" s="31" t="s">
        <v>46</v>
      </c>
      <c r="C2" s="4" t="s">
        <v>47</v>
      </c>
      <c r="D2" s="4" t="s">
        <v>49</v>
      </c>
      <c r="E2" s="6" t="s">
        <v>27</v>
      </c>
      <c r="F2" s="17" t="s">
        <v>27</v>
      </c>
      <c r="G2" s="1"/>
    </row>
    <row r="3" spans="1:20" ht="15" customHeight="1" x14ac:dyDescent="0.35">
      <c r="A3" s="7">
        <v>2015</v>
      </c>
      <c r="B3" s="8" t="s">
        <v>41</v>
      </c>
      <c r="C3" s="28" t="s">
        <v>39</v>
      </c>
      <c r="D3" s="9" t="s">
        <v>40</v>
      </c>
      <c r="E3" s="10" t="s">
        <v>33</v>
      </c>
      <c r="F3" s="18">
        <v>0</v>
      </c>
      <c r="G3" s="2" t="str">
        <f t="shared" ref="G3:G8" si="0">IF(OR(AND(F3&gt;1,F3&lt;&gt;"-")),"Can exchange","")</f>
        <v/>
      </c>
    </row>
    <row r="4" spans="1:20" ht="15" customHeight="1" x14ac:dyDescent="0.35">
      <c r="A4" s="7">
        <v>2016</v>
      </c>
      <c r="B4" s="5" t="s">
        <v>0</v>
      </c>
      <c r="C4" s="5" t="s">
        <v>0</v>
      </c>
      <c r="D4" s="5" t="s">
        <v>0</v>
      </c>
      <c r="E4" s="5" t="s">
        <v>0</v>
      </c>
      <c r="F4" s="18" t="s">
        <v>0</v>
      </c>
      <c r="G4" s="2" t="str">
        <f t="shared" si="0"/>
        <v/>
      </c>
    </row>
    <row r="5" spans="1:20" ht="15" customHeight="1" x14ac:dyDescent="0.35">
      <c r="A5" s="7">
        <v>2017</v>
      </c>
      <c r="B5" s="5" t="s">
        <v>0</v>
      </c>
      <c r="C5" s="5" t="s">
        <v>0</v>
      </c>
      <c r="D5" s="5" t="s">
        <v>0</v>
      </c>
      <c r="E5" s="5" t="s">
        <v>0</v>
      </c>
      <c r="F5" s="18" t="s">
        <v>0</v>
      </c>
      <c r="G5" s="2" t="str">
        <f t="shared" si="0"/>
        <v/>
      </c>
    </row>
    <row r="6" spans="1:20" ht="15" customHeight="1" x14ac:dyDescent="0.35">
      <c r="A6" s="7">
        <v>2018</v>
      </c>
      <c r="B6" s="8" t="s">
        <v>41</v>
      </c>
      <c r="C6" s="28" t="s">
        <v>39</v>
      </c>
      <c r="D6" s="9" t="s">
        <v>40</v>
      </c>
      <c r="E6" s="26" t="s">
        <v>26</v>
      </c>
      <c r="F6" s="18" t="s">
        <v>0</v>
      </c>
      <c r="G6" s="2" t="str">
        <f t="shared" si="0"/>
        <v/>
      </c>
    </row>
    <row r="7" spans="1:20" ht="15" customHeight="1" x14ac:dyDescent="0.35">
      <c r="A7" s="7">
        <v>2019</v>
      </c>
      <c r="B7" s="8" t="s">
        <v>41</v>
      </c>
      <c r="C7" s="28" t="s">
        <v>39</v>
      </c>
      <c r="D7" s="9" t="s">
        <v>40</v>
      </c>
      <c r="E7" s="26" t="s">
        <v>42</v>
      </c>
      <c r="F7" s="18" t="s">
        <v>0</v>
      </c>
      <c r="G7" s="2" t="str">
        <f t="shared" si="0"/>
        <v/>
      </c>
    </row>
    <row r="8" spans="1:20" ht="15" customHeight="1" x14ac:dyDescent="0.35">
      <c r="A8" s="7">
        <v>2020</v>
      </c>
      <c r="B8" s="8" t="s">
        <v>41</v>
      </c>
      <c r="C8" s="28" t="s">
        <v>39</v>
      </c>
      <c r="D8" s="9" t="s">
        <v>40</v>
      </c>
      <c r="E8" s="26" t="s">
        <v>42</v>
      </c>
      <c r="F8" s="18" t="s">
        <v>0</v>
      </c>
      <c r="G8" s="2" t="str">
        <f t="shared" si="0"/>
        <v/>
      </c>
    </row>
    <row r="9" spans="1:20" ht="15" customHeight="1" x14ac:dyDescent="0.35">
      <c r="A9" s="7">
        <v>2021</v>
      </c>
      <c r="B9" s="8" t="s">
        <v>41</v>
      </c>
      <c r="C9" s="28" t="s">
        <v>39</v>
      </c>
      <c r="D9" s="9" t="s">
        <v>40</v>
      </c>
      <c r="E9" s="26" t="s">
        <v>42</v>
      </c>
      <c r="F9" s="18" t="s">
        <v>0</v>
      </c>
      <c r="G9" s="2" t="str">
        <f t="shared" ref="G9:G13" si="1">IF(OR(AND(F9&gt;1,F9&lt;&gt;"-")),"Can exchange","")</f>
        <v/>
      </c>
    </row>
    <row r="10" spans="1:20" ht="15" customHeight="1" x14ac:dyDescent="0.35">
      <c r="A10" s="7">
        <v>2022</v>
      </c>
      <c r="B10" s="8" t="s">
        <v>41</v>
      </c>
      <c r="C10" s="28" t="s">
        <v>39</v>
      </c>
      <c r="D10" s="9" t="s">
        <v>40</v>
      </c>
      <c r="E10" s="26" t="s">
        <v>45</v>
      </c>
      <c r="F10" s="18" t="s">
        <v>0</v>
      </c>
      <c r="G10" s="2" t="str">
        <f t="shared" si="1"/>
        <v/>
      </c>
    </row>
    <row r="11" spans="1:20" ht="15" customHeight="1" x14ac:dyDescent="0.35">
      <c r="A11" s="7">
        <v>2023</v>
      </c>
      <c r="B11" s="8" t="s">
        <v>41</v>
      </c>
      <c r="C11" s="28" t="s">
        <v>39</v>
      </c>
      <c r="D11" s="9" t="s">
        <v>40</v>
      </c>
      <c r="E11" s="26" t="s">
        <v>45</v>
      </c>
      <c r="F11" s="18" t="s">
        <v>0</v>
      </c>
      <c r="G11" s="2" t="str">
        <f t="shared" si="1"/>
        <v/>
      </c>
    </row>
    <row r="12" spans="1:20" ht="15" customHeight="1" x14ac:dyDescent="0.35">
      <c r="A12" s="7">
        <v>2024</v>
      </c>
      <c r="B12" s="8" t="s">
        <v>41</v>
      </c>
      <c r="C12" s="28" t="s">
        <v>39</v>
      </c>
      <c r="D12" s="9" t="s">
        <v>40</v>
      </c>
      <c r="E12" s="26" t="s">
        <v>45</v>
      </c>
      <c r="F12" s="18" t="s">
        <v>0</v>
      </c>
      <c r="G12" s="2" t="str">
        <f t="shared" si="1"/>
        <v/>
      </c>
    </row>
    <row r="13" spans="1:20" ht="15" customHeight="1" x14ac:dyDescent="0.35">
      <c r="A13" s="7">
        <v>2025</v>
      </c>
      <c r="B13" s="8" t="s">
        <v>41</v>
      </c>
      <c r="C13" s="28" t="s">
        <v>39</v>
      </c>
      <c r="D13" s="9" t="s">
        <v>40</v>
      </c>
      <c r="E13" s="26" t="s">
        <v>45</v>
      </c>
      <c r="F13" s="18" t="s">
        <v>0</v>
      </c>
      <c r="G13" s="2" t="str">
        <f t="shared" si="1"/>
        <v/>
      </c>
    </row>
    <row r="15" spans="1:20" ht="15" customHeight="1" x14ac:dyDescent="0.35">
      <c r="T15" s="30"/>
    </row>
    <row r="16" spans="1:20" ht="15" customHeight="1" x14ac:dyDescent="0.35">
      <c r="T16" s="29"/>
    </row>
    <row r="17" spans="20:20" ht="15" customHeight="1" x14ac:dyDescent="0.35">
      <c r="T17" s="29"/>
    </row>
    <row r="18" spans="20:20" ht="15" customHeight="1" x14ac:dyDescent="0.35">
      <c r="T18" s="29"/>
    </row>
    <row r="19" spans="20:20" ht="15" customHeight="1" x14ac:dyDescent="0.35">
      <c r="T19" s="30"/>
    </row>
  </sheetData>
  <autoFilter ref="B2:E2" xr:uid="{00000000-0001-0000-0600-000000000000}"/>
  <mergeCells count="2">
    <mergeCell ref="A1:A2"/>
    <mergeCell ref="C1:D1"/>
  </mergeCells>
  <phoneticPr fontId="10" type="noConversion"/>
  <conditionalFormatting sqref="F3:F5">
    <cfRule type="containsText" dxfId="24" priority="9" operator="containsText" text="*-">
      <formula>NOT(ISERROR(SEARCH(("*-"),(F3))))</formula>
    </cfRule>
  </conditionalFormatting>
  <conditionalFormatting sqref="F3:F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23" priority="7" operator="containsText" text="*-">
      <formula>NOT(ISERROR(SEARCH(("*-"),(F6))))</formula>
    </cfRule>
  </conditionalFormatting>
  <conditionalFormatting sqref="F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22" priority="5" operator="containsText" text="*-">
      <formula>NOT(ISERROR(SEARCH(("*-"),(F7))))</formula>
    </cfRule>
  </conditionalFormatting>
  <conditionalFormatting sqref="F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:F11">
    <cfRule type="containsText" dxfId="21" priority="3" operator="containsText" text="*-">
      <formula>NOT(ISERROR(SEARCH(("*-"),(F8))))</formula>
    </cfRule>
  </conditionalFormatting>
  <conditionalFormatting sqref="F8:F1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:F13">
    <cfRule type="containsText" dxfId="4" priority="1" operator="containsText" text="*-">
      <formula>NOT(ISERROR(SEARCH(("*-"),(F12))))</formula>
    </cfRule>
  </conditionalFormatting>
  <conditionalFormatting sqref="F12:F1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2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22" sqref="E22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5" width="12.6328125" style="3" customWidth="1"/>
    <col min="6" max="6" width="3.6328125" style="3" customWidth="1"/>
    <col min="7" max="7" width="12.6328125" style="3" customWidth="1"/>
  </cols>
  <sheetData>
    <row r="1" spans="1:7" ht="15" customHeight="1" x14ac:dyDescent="0.35">
      <c r="A1" s="36" t="s">
        <v>1</v>
      </c>
      <c r="B1" s="31"/>
      <c r="C1" s="34" t="s">
        <v>2</v>
      </c>
      <c r="D1" s="38"/>
      <c r="E1" s="20" t="s">
        <v>3</v>
      </c>
      <c r="F1" s="23" t="s">
        <v>20</v>
      </c>
      <c r="G1" s="1"/>
    </row>
    <row r="2" spans="1:7" ht="15" customHeight="1" x14ac:dyDescent="0.35">
      <c r="A2" s="37"/>
      <c r="B2" s="31" t="s">
        <v>46</v>
      </c>
      <c r="C2" s="4" t="s">
        <v>47</v>
      </c>
      <c r="D2" s="4" t="s">
        <v>49</v>
      </c>
      <c r="E2" s="6" t="s">
        <v>27</v>
      </c>
      <c r="F2" s="17" t="s">
        <v>27</v>
      </c>
      <c r="G2" s="1"/>
    </row>
    <row r="3" spans="1:7" ht="15" customHeight="1" x14ac:dyDescent="0.35">
      <c r="A3" s="7">
        <v>2015</v>
      </c>
      <c r="B3" s="8" t="s">
        <v>41</v>
      </c>
      <c r="C3" s="28" t="s">
        <v>39</v>
      </c>
      <c r="D3" s="9" t="s">
        <v>40</v>
      </c>
      <c r="E3" s="10" t="s">
        <v>37</v>
      </c>
      <c r="F3" s="18">
        <v>0</v>
      </c>
      <c r="G3" s="2" t="str">
        <f t="shared" ref="G3:G6" si="0">IF(OR(AND(F3&gt;1,F3&lt;&gt;"-")),"Can exchange","")</f>
        <v/>
      </c>
    </row>
    <row r="4" spans="1:7" ht="15" customHeight="1" x14ac:dyDescent="0.35">
      <c r="A4" s="7">
        <v>2016</v>
      </c>
      <c r="B4" s="25" t="s">
        <v>0</v>
      </c>
      <c r="C4" s="25" t="s">
        <v>0</v>
      </c>
      <c r="D4" s="25" t="s">
        <v>0</v>
      </c>
      <c r="E4" s="25" t="s">
        <v>0</v>
      </c>
      <c r="F4" s="18" t="s">
        <v>0</v>
      </c>
      <c r="G4" s="2" t="str">
        <f t="shared" si="0"/>
        <v/>
      </c>
    </row>
    <row r="5" spans="1:7" ht="15" customHeight="1" x14ac:dyDescent="0.35">
      <c r="A5" s="7">
        <v>2017</v>
      </c>
      <c r="B5" s="8" t="s">
        <v>41</v>
      </c>
      <c r="C5" s="28" t="s">
        <v>39</v>
      </c>
      <c r="D5" s="9" t="s">
        <v>40</v>
      </c>
      <c r="E5" s="10" t="s">
        <v>38</v>
      </c>
      <c r="F5" s="18">
        <v>0</v>
      </c>
      <c r="G5" s="2" t="str">
        <f t="shared" si="0"/>
        <v/>
      </c>
    </row>
    <row r="6" spans="1:7" ht="15" customHeight="1" x14ac:dyDescent="0.35">
      <c r="A6" s="7">
        <v>2018</v>
      </c>
      <c r="B6" s="8" t="s">
        <v>41</v>
      </c>
      <c r="C6" s="28" t="s">
        <v>39</v>
      </c>
      <c r="D6" s="9" t="s">
        <v>40</v>
      </c>
      <c r="E6" s="26" t="s">
        <v>26</v>
      </c>
      <c r="F6" s="18" t="s">
        <v>0</v>
      </c>
      <c r="G6" s="2" t="str">
        <f t="shared" si="0"/>
        <v/>
      </c>
    </row>
    <row r="7" spans="1:7" ht="15" customHeight="1" x14ac:dyDescent="0.35">
      <c r="A7" s="7">
        <v>2019</v>
      </c>
      <c r="B7" s="8" t="s">
        <v>41</v>
      </c>
      <c r="C7" s="28" t="s">
        <v>39</v>
      </c>
      <c r="D7" s="9" t="s">
        <v>40</v>
      </c>
      <c r="E7" s="10" t="s">
        <v>43</v>
      </c>
      <c r="F7" s="18">
        <v>0</v>
      </c>
      <c r="G7" s="2" t="str">
        <f t="shared" ref="G7:G8" si="1">IF(OR(AND(F7&gt;1,F7&lt;&gt;"-")),"Can exchange","")</f>
        <v/>
      </c>
    </row>
    <row r="8" spans="1:7" ht="15" customHeight="1" x14ac:dyDescent="0.35">
      <c r="A8" s="7">
        <v>2020</v>
      </c>
      <c r="B8" s="8" t="s">
        <v>41</v>
      </c>
      <c r="C8" s="28" t="s">
        <v>39</v>
      </c>
      <c r="D8" s="9" t="s">
        <v>40</v>
      </c>
      <c r="E8" s="10" t="s">
        <v>43</v>
      </c>
      <c r="F8" s="18">
        <v>0</v>
      </c>
      <c r="G8" s="2" t="str">
        <f t="shared" si="1"/>
        <v/>
      </c>
    </row>
    <row r="9" spans="1:7" ht="15" customHeight="1" x14ac:dyDescent="0.35">
      <c r="A9" s="7">
        <v>2021</v>
      </c>
      <c r="B9" s="8" t="s">
        <v>41</v>
      </c>
      <c r="C9" s="28" t="s">
        <v>39</v>
      </c>
      <c r="D9" s="9" t="s">
        <v>40</v>
      </c>
      <c r="E9" s="10" t="s">
        <v>43</v>
      </c>
      <c r="F9" s="18">
        <v>0</v>
      </c>
      <c r="G9" s="2" t="str">
        <f t="shared" ref="G9:G13" si="2">IF(OR(AND(F9&gt;1,F9&lt;&gt;"-")),"Can exchange","")</f>
        <v/>
      </c>
    </row>
    <row r="10" spans="1:7" ht="15" customHeight="1" x14ac:dyDescent="0.35">
      <c r="A10" s="7">
        <v>2022</v>
      </c>
      <c r="B10" s="8" t="s">
        <v>41</v>
      </c>
      <c r="C10" s="28" t="s">
        <v>39</v>
      </c>
      <c r="D10" s="9" t="s">
        <v>40</v>
      </c>
      <c r="E10" s="26" t="s">
        <v>45</v>
      </c>
      <c r="F10" s="18" t="s">
        <v>0</v>
      </c>
      <c r="G10" s="2" t="str">
        <f t="shared" si="2"/>
        <v/>
      </c>
    </row>
    <row r="11" spans="1:7" ht="15" customHeight="1" x14ac:dyDescent="0.35">
      <c r="A11" s="7">
        <v>2023</v>
      </c>
      <c r="B11" s="8" t="s">
        <v>41</v>
      </c>
      <c r="C11" s="28" t="s">
        <v>39</v>
      </c>
      <c r="D11" s="9" t="s">
        <v>40</v>
      </c>
      <c r="E11" s="26" t="s">
        <v>45</v>
      </c>
      <c r="F11" s="18" t="s">
        <v>0</v>
      </c>
      <c r="G11" s="2" t="str">
        <f t="shared" si="2"/>
        <v/>
      </c>
    </row>
    <row r="12" spans="1:7" ht="15" customHeight="1" x14ac:dyDescent="0.35">
      <c r="A12" s="7">
        <v>2024</v>
      </c>
      <c r="B12" s="8" t="s">
        <v>41</v>
      </c>
      <c r="C12" s="28" t="s">
        <v>39</v>
      </c>
      <c r="D12" s="9" t="s">
        <v>40</v>
      </c>
      <c r="E12" s="10" t="s">
        <v>52</v>
      </c>
      <c r="F12" s="18">
        <v>0</v>
      </c>
      <c r="G12" s="2" t="str">
        <f t="shared" si="2"/>
        <v/>
      </c>
    </row>
    <row r="13" spans="1:7" ht="15" customHeight="1" x14ac:dyDescent="0.35">
      <c r="A13" s="7">
        <v>2025</v>
      </c>
      <c r="B13" s="8" t="s">
        <v>41</v>
      </c>
      <c r="C13" s="28" t="s">
        <v>39</v>
      </c>
      <c r="D13" s="9" t="s">
        <v>40</v>
      </c>
      <c r="E13" s="26" t="s">
        <v>45</v>
      </c>
      <c r="F13" s="18" t="s">
        <v>0</v>
      </c>
      <c r="G13" s="2" t="str">
        <f t="shared" ref="G13" si="3">IF(OR(AND(F13&gt;1,F13&lt;&gt;"-")),"Can exchange","")</f>
        <v/>
      </c>
    </row>
    <row r="17" spans="10:21" ht="15" customHeight="1" x14ac:dyDescent="0.35">
      <c r="J17" s="29"/>
      <c r="K17" s="29"/>
      <c r="U17" s="29"/>
    </row>
    <row r="18" spans="10:21" ht="15" customHeight="1" x14ac:dyDescent="0.35">
      <c r="J18" s="29"/>
      <c r="T18" s="30"/>
      <c r="U18" s="29"/>
    </row>
    <row r="19" spans="10:21" ht="15" customHeight="1" x14ac:dyDescent="0.35">
      <c r="J19" s="29"/>
      <c r="T19" s="29"/>
      <c r="U19" s="29"/>
    </row>
    <row r="20" spans="10:21" ht="15" customHeight="1" x14ac:dyDescent="0.35">
      <c r="J20" s="29"/>
      <c r="T20" s="29"/>
      <c r="U20" s="29"/>
    </row>
    <row r="21" spans="10:21" ht="15" customHeight="1" x14ac:dyDescent="0.35">
      <c r="J21" s="29"/>
      <c r="T21" s="29"/>
      <c r="U21" s="29"/>
    </row>
    <row r="22" spans="10:21" ht="15" customHeight="1" x14ac:dyDescent="0.35">
      <c r="J22" s="29"/>
      <c r="T22" s="29"/>
      <c r="U22" s="29"/>
    </row>
  </sheetData>
  <autoFilter ref="B2:E2" xr:uid="{00000000-0001-0000-0700-000000000000}"/>
  <mergeCells count="2">
    <mergeCell ref="A1:A2"/>
    <mergeCell ref="C1:D1"/>
  </mergeCells>
  <phoneticPr fontId="10" type="noConversion"/>
  <conditionalFormatting sqref="F3:F6">
    <cfRule type="containsText" dxfId="20" priority="17" operator="containsText" text="*-">
      <formula>NOT(ISERROR(SEARCH(("*-"),(F3))))</formula>
    </cfRule>
  </conditionalFormatting>
  <conditionalFormatting sqref="F3:F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 F9">
    <cfRule type="containsText" dxfId="19" priority="15" operator="containsText" text="*-">
      <formula>NOT(ISERROR(SEARCH(("*-"),(F7))))</formula>
    </cfRule>
  </conditionalFormatting>
  <conditionalFormatting sqref="F7 F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">
    <cfRule type="containsText" dxfId="18" priority="13" operator="containsText" text="*-">
      <formula>NOT(ISERROR(SEARCH(("*-"),(F8))))</formula>
    </cfRule>
  </conditionalFormatting>
  <conditionalFormatting sqref="F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">
    <cfRule type="containsText" dxfId="17" priority="11" operator="containsText" text="*-">
      <formula>NOT(ISERROR(SEARCH(("*-"),(F10))))</formula>
    </cfRule>
  </conditionalFormatting>
  <conditionalFormatting sqref="F1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">
    <cfRule type="containsText" dxfId="16" priority="9" operator="containsText" text="*-">
      <formula>NOT(ISERROR(SEARCH(("*-"),(F11))))</formula>
    </cfRule>
  </conditionalFormatting>
  <conditionalFormatting sqref="F1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">
    <cfRule type="containsText" dxfId="1" priority="3" operator="containsText" text="*-">
      <formula>NOT(ISERROR(SEARCH(("*-"),(F12))))</formula>
    </cfRule>
  </conditionalFormatting>
  <conditionalFormatting sqref="F1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">
    <cfRule type="containsText" dxfId="0" priority="1" operator="containsText" text="*-">
      <formula>NOT(ISERROR(SEARCH(("*-"),(F13))))</formula>
    </cfRule>
  </conditionalFormatting>
  <conditionalFormatting sqref="F1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6" sqref="B6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1" t="s">
        <v>11</v>
      </c>
      <c r="B1" s="12" t="s">
        <v>12</v>
      </c>
      <c r="C1" s="13" t="s">
        <v>13</v>
      </c>
    </row>
    <row r="2" spans="1:3" ht="15" customHeight="1" x14ac:dyDescent="0.35">
      <c r="A2" s="14">
        <v>1</v>
      </c>
      <c r="B2" s="15" t="s">
        <v>14</v>
      </c>
      <c r="C2" s="16" t="s">
        <v>15</v>
      </c>
    </row>
    <row r="3" spans="1:3" ht="15" customHeight="1" x14ac:dyDescent="0.35">
      <c r="A3" s="14">
        <v>2</v>
      </c>
      <c r="B3" s="15" t="s">
        <v>17</v>
      </c>
      <c r="C3" s="16" t="s">
        <v>16</v>
      </c>
    </row>
    <row r="4" spans="1:3" ht="15" customHeight="1" x14ac:dyDescent="0.35">
      <c r="A4" s="14">
        <v>3</v>
      </c>
      <c r="B4" s="15" t="s">
        <v>18</v>
      </c>
      <c r="C4" s="16" t="s">
        <v>22</v>
      </c>
    </row>
    <row r="5" spans="1:3" ht="15" customHeight="1" x14ac:dyDescent="0.35">
      <c r="A5" s="14">
        <v>4</v>
      </c>
      <c r="B5" s="24" t="s">
        <v>25</v>
      </c>
      <c r="C5" s="16" t="s">
        <v>19</v>
      </c>
    </row>
    <row r="6" spans="1:3" ht="15" customHeight="1" x14ac:dyDescent="0.35">
      <c r="A6" s="14">
        <v>5</v>
      </c>
      <c r="B6" s="15" t="s">
        <v>21</v>
      </c>
      <c r="C6" s="19" t="s">
        <v>23</v>
      </c>
    </row>
    <row r="7" spans="1:3" ht="15" customHeight="1" x14ac:dyDescent="0.35">
      <c r="A7" s="14">
        <v>6</v>
      </c>
      <c r="B7" s="15" t="s">
        <v>21</v>
      </c>
      <c r="C7" s="19" t="s">
        <v>24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7" r:id="rId4" xr:uid="{00000000-0004-0000-0800-000003000000}"/>
    <hyperlink ref="B6" r:id="rId5" xr:uid="{00000000-0004-0000-0800-000004000000}"/>
    <hyperlink ref="B5" r:id="rId6" display="https://coinsplanet.ru/upload/013/u1372/001/9e08e8ac.jpg" xr:uid="{00000000-0004-0000-0800-000005000000}"/>
  </hyperlinks>
  <pageMargins left="0.7" right="0.7" top="0.75" bottom="0.75" header="0.3" footer="0.3"/>
  <pageSetup paperSize="9" orientation="portrait" horizontalDpi="300" verticalDpi="300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2026-02-12T14:34:26Z</dcterms:modified>
</cp:coreProperties>
</file>