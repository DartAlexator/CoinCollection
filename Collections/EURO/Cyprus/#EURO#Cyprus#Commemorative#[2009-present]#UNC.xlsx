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Cyprus\"/>
    </mc:Choice>
  </mc:AlternateContent>
  <xr:revisionPtr revIDLastSave="0" documentId="13_ncr:1_{516F0DAD-0D45-46FC-ADD2-69089ABEAAB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9" i="1" l="1"/>
  <c r="J18" i="1"/>
  <c r="J17" i="1"/>
  <c r="J16" i="1"/>
  <c r="J15" i="1"/>
  <c r="J14" i="1"/>
  <c r="J13" i="1"/>
  <c r="J12" i="1"/>
  <c r="J9" i="1" l="1"/>
  <c r="J4" i="1"/>
  <c r="J5" i="1"/>
  <c r="J6" i="1"/>
  <c r="J7" i="1"/>
  <c r="J8" i="1"/>
  <c r="J10" i="1"/>
  <c r="J11" i="1"/>
  <c r="J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Автор</author>
  </authors>
  <commentList>
    <comment ref="F2" authorId="0" shapeId="0" xr:uid="{CD501B07-102D-43AA-9B5C-3BB80503E440}">
      <text>
        <r>
          <rPr>
            <b/>
            <sz val="9"/>
            <color indexed="81"/>
            <rFont val="Tahoma"/>
            <family val="2"/>
            <charset val="204"/>
          </rPr>
          <t>Νομισματοκοπείο - ΙΕΤΑ (The National Mint of the Bank of Greece)</t>
        </r>
      </text>
    </comment>
    <comment ref="G2" authorId="1" shapeId="0" xr:uid="{7582DD39-FF77-43EA-B80D-B007D7BF15C9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H2" authorId="0" shapeId="0" xr:uid="{2D79C93A-E2E4-4160-B661-31F44B3B12BA}">
      <text>
        <r>
          <rPr>
            <b/>
            <sz val="9"/>
            <color indexed="81"/>
            <rFont val="Tahoma"/>
            <family val="2"/>
            <charset val="204"/>
          </rPr>
          <t>Νομισματοκοπείο - ΙΕΤΑ (The National Mint of the Bank of Greece)</t>
        </r>
      </text>
    </comment>
    <comment ref="I2" authorId="1" shapeId="0" xr:uid="{448A6FB8-4D67-4D8C-A512-33133CBD8016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</commentList>
</comments>
</file>

<file path=xl/sharedStrings.xml><?xml version="1.0" encoding="utf-8"?>
<sst xmlns="http://schemas.openxmlformats.org/spreadsheetml/2006/main" count="151" uniqueCount="44">
  <si>
    <t>Year</t>
  </si>
  <si>
    <t>Type</t>
  </si>
  <si>
    <t>Mintage</t>
  </si>
  <si>
    <t>2€</t>
  </si>
  <si>
    <t>-</t>
  </si>
  <si>
    <t>№</t>
  </si>
  <si>
    <t>Link</t>
  </si>
  <si>
    <t>Description (single table, table set, mintage, prices):</t>
  </si>
  <si>
    <t>euro-coins</t>
  </si>
  <si>
    <t>Low convenience single table with mintages</t>
  </si>
  <si>
    <t>wiki</t>
  </si>
  <si>
    <t>Low convenience set of tables with mintages</t>
  </si>
  <si>
    <t>skopil</t>
  </si>
  <si>
    <t>Low convenience set of tables with photos</t>
  </si>
  <si>
    <t>en.ucoin</t>
  </si>
  <si>
    <t>Low convenience single table with varieties and mintages and photos</t>
  </si>
  <si>
    <t>eurocollection</t>
  </si>
  <si>
    <t>High convenience single table of varieties with photos</t>
  </si>
  <si>
    <t>High convenience set of tables table of actual coins with photos</t>
  </si>
  <si>
    <t>GR</t>
  </si>
  <si>
    <t>1.000.000</t>
  </si>
  <si>
    <t>350.000</t>
  </si>
  <si>
    <t>430.000</t>
  </si>
  <si>
    <t>Ten years of Economic and Monetary Union (EMU) and the birth of the euro</t>
  </si>
  <si>
    <t>10 Years of Euro Cash</t>
  </si>
  <si>
    <t>Paphos - European Capital of Culture 2017</t>
  </si>
  <si>
    <t>30th Anniversary - European Union flag</t>
  </si>
  <si>
    <t>Obv: Without mint symbol</t>
  </si>
  <si>
    <t>Rev: new map of Europe</t>
  </si>
  <si>
    <t>FI</t>
  </si>
  <si>
    <t>412.000</t>
  </si>
  <si>
    <t xml:space="preserve">30 years since the foundation of the Cyprus Institute of Neurology and Genetics	</t>
  </si>
  <si>
    <t>35th Anniversary - Erasmus Programme</t>
  </si>
  <si>
    <t>60th Anniversary - Central Bank of Cyprus</t>
  </si>
  <si>
    <t>Subject</t>
  </si>
  <si>
    <t>Subtype_1#Series</t>
  </si>
  <si>
    <t>Subtype_3#Map_of_Europe</t>
  </si>
  <si>
    <t>10 Years of EMU</t>
  </si>
  <si>
    <t>10th Anniversary - Euro Coins and Banknotes</t>
  </si>
  <si>
    <t>European Union flag</t>
  </si>
  <si>
    <t>Erasmus Programme</t>
  </si>
  <si>
    <t>Subtype_2#Special_marks_1</t>
  </si>
  <si>
    <t>20th Anniversary - Cyprus' accession to the European Union</t>
  </si>
  <si>
    <t>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</si>
</sst>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rgb="FF7030A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5" fillId="0" borderId="0" xfId="1"/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shrinkToFit="1"/>
    </xf>
    <xf numFmtId="3" fontId="2" fillId="6" borderId="1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0" fillId="0" borderId="0" xfId="0" applyFont="1" applyAlignment="1"/>
    <xf numFmtId="3" fontId="2" fillId="4" borderId="7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3" fontId="2" fillId="4" borderId="1" xfId="0" applyNumberFormat="1" applyFont="1" applyFill="1" applyBorder="1" applyAlignment="1">
      <alignment horizontal="center" vertical="center" shrinkToFit="1"/>
    </xf>
    <xf numFmtId="3" fontId="2" fillId="6" borderId="7" xfId="0" applyNumberFormat="1" applyFont="1" applyFill="1" applyBorder="1" applyAlignment="1">
      <alignment horizontal="center" vertical="center" shrinkToFit="1"/>
    </xf>
    <xf numFmtId="164" fontId="1" fillId="0" borderId="0" xfId="0" applyNumberFormat="1" applyFont="1"/>
    <xf numFmtId="0" fontId="4" fillId="3" borderId="2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 shrinkToFit="1"/>
    </xf>
    <xf numFmtId="0" fontId="9" fillId="7" borderId="7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9" fontId="4" fillId="3" borderId="7" xfId="0" applyNumberFormat="1" applyFont="1" applyFill="1" applyBorder="1" applyAlignment="1">
      <alignment horizontal="center" vertical="center" shrinkToFit="1"/>
    </xf>
    <xf numFmtId="49" fontId="0" fillId="0" borderId="7" xfId="0" applyNumberFormat="1" applyBorder="1" applyAlignment="1">
      <alignment horizontal="center" vertical="center" shrinkToFit="1"/>
    </xf>
    <xf numFmtId="0" fontId="4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28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4"/>
    <tableColumn id="2" xr3:uid="{00000000-0010-0000-0000-000002000000}" name="Link" dataDxfId="3" dataCellStyle="Гиперссылка"/>
    <tableColumn id="3" xr3:uid="{00000000-0010-0000-0000-000003000000}" name="Description (single table, table set, mintage, prices):" dataDxfId="2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.ucoin.net/catalog/?country=cyprus&amp;period=307&amp;type=2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" TargetMode="External"/><Relationship Id="rId5" Type="http://schemas.openxmlformats.org/officeDocument/2006/relationships/hyperlink" Target="http://www.eurocollection.co.uk/Variants.html" TargetMode="External"/><Relationship Id="rId4" Type="http://schemas.openxmlformats.org/officeDocument/2006/relationships/hyperlink" Target="https://www.euro-coins.info/info/mintage/cypru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zoomScaleNormal="100" workbookViewId="0">
      <pane xSplit="10" ySplit="2" topLeftCell="K3" activePane="bottomRight" state="frozen"/>
      <selection pane="topRight" activeCell="F1" sqref="F1"/>
      <selection pane="bottomLeft" activeCell="A3" sqref="A3"/>
      <selection pane="bottomRight" activeCell="C30" sqref="C30"/>
    </sheetView>
  </sheetViews>
  <sheetFormatPr defaultColWidth="9.1796875" defaultRowHeight="15" customHeight="1" x14ac:dyDescent="0.35"/>
  <cols>
    <col min="1" max="1" width="5.6328125" style="12" customWidth="1"/>
    <col min="2" max="2" width="50.6328125" style="12" customWidth="1"/>
    <col min="3" max="5" width="33.6328125" style="12" customWidth="1"/>
    <col min="6" max="7" width="12.6328125" style="12" customWidth="1"/>
    <col min="8" max="9" width="3.6328125" style="12" customWidth="1"/>
    <col min="10" max="10" width="12.6328125" style="12" customWidth="1"/>
    <col min="11" max="11" width="14.26953125" style="1" customWidth="1"/>
    <col min="12" max="16384" width="9.1796875" style="1"/>
  </cols>
  <sheetData>
    <row r="1" spans="1:11" ht="15" customHeight="1" x14ac:dyDescent="0.35">
      <c r="A1" s="27" t="s">
        <v>0</v>
      </c>
      <c r="B1" s="24"/>
      <c r="C1" s="33" t="s">
        <v>1</v>
      </c>
      <c r="D1" s="34"/>
      <c r="E1" s="35"/>
      <c r="F1" s="29" t="s">
        <v>2</v>
      </c>
      <c r="G1" s="30"/>
      <c r="H1" s="31" t="s">
        <v>3</v>
      </c>
      <c r="I1" s="32"/>
      <c r="J1" s="3"/>
    </row>
    <row r="2" spans="1:11" ht="15" customHeight="1" x14ac:dyDescent="0.35">
      <c r="A2" s="28"/>
      <c r="B2" s="24" t="s">
        <v>34</v>
      </c>
      <c r="C2" s="4" t="s">
        <v>35</v>
      </c>
      <c r="D2" s="4" t="s">
        <v>41</v>
      </c>
      <c r="E2" s="4" t="s">
        <v>36</v>
      </c>
      <c r="F2" s="5" t="s">
        <v>19</v>
      </c>
      <c r="G2" s="5" t="s">
        <v>29</v>
      </c>
      <c r="H2" s="13" t="s">
        <v>19</v>
      </c>
      <c r="I2" s="13" t="s">
        <v>29</v>
      </c>
      <c r="J2" s="3"/>
    </row>
    <row r="3" spans="1:11" ht="15" customHeight="1" x14ac:dyDescent="0.35">
      <c r="A3" s="6">
        <v>2009</v>
      </c>
      <c r="B3" s="7" t="s">
        <v>23</v>
      </c>
      <c r="C3" s="22" t="s">
        <v>37</v>
      </c>
      <c r="D3" s="22" t="s">
        <v>27</v>
      </c>
      <c r="E3" s="8" t="s">
        <v>28</v>
      </c>
      <c r="F3" s="11" t="s">
        <v>4</v>
      </c>
      <c r="G3" s="21" t="s">
        <v>20</v>
      </c>
      <c r="H3" s="9" t="s">
        <v>4</v>
      </c>
      <c r="I3" s="9">
        <v>1</v>
      </c>
      <c r="J3" s="10" t="str">
        <f>IF(OR(AND(H3&gt;1,H3&lt;&gt;"-"),AND(I3&gt;1,I3&lt;&gt;"-")),"Can exchange","")</f>
        <v/>
      </c>
    </row>
    <row r="4" spans="1:11" ht="15" customHeight="1" x14ac:dyDescent="0.35">
      <c r="A4" s="6">
        <v>2010</v>
      </c>
      <c r="B4" s="11" t="s">
        <v>4</v>
      </c>
      <c r="C4" s="11" t="s">
        <v>4</v>
      </c>
      <c r="D4" s="11" t="s">
        <v>4</v>
      </c>
      <c r="E4" s="11" t="s">
        <v>4</v>
      </c>
      <c r="F4" s="11" t="s">
        <v>4</v>
      </c>
      <c r="G4" s="11" t="s">
        <v>4</v>
      </c>
      <c r="H4" s="9" t="s">
        <v>4</v>
      </c>
      <c r="I4" s="9" t="s">
        <v>4</v>
      </c>
      <c r="J4" s="10" t="str">
        <f t="shared" ref="J4:J11" si="0">IF(OR(AND(H4&gt;1,H4&lt;&gt;"-"),AND(I4&gt;1,I4&lt;&gt;"-")),"Can exchange","")</f>
        <v/>
      </c>
    </row>
    <row r="5" spans="1:11" ht="15" customHeight="1" x14ac:dyDescent="0.35">
      <c r="A5" s="6">
        <v>2011</v>
      </c>
      <c r="B5" s="11" t="s">
        <v>4</v>
      </c>
      <c r="C5" s="11" t="s">
        <v>4</v>
      </c>
      <c r="D5" s="11" t="s">
        <v>4</v>
      </c>
      <c r="E5" s="11" t="s">
        <v>4</v>
      </c>
      <c r="F5" s="11" t="s">
        <v>4</v>
      </c>
      <c r="G5" s="11" t="s">
        <v>4</v>
      </c>
      <c r="H5" s="9" t="s">
        <v>4</v>
      </c>
      <c r="I5" s="9" t="s">
        <v>4</v>
      </c>
      <c r="J5" s="10" t="str">
        <f t="shared" si="0"/>
        <v/>
      </c>
    </row>
    <row r="6" spans="1:11" ht="15" customHeight="1" x14ac:dyDescent="0.35">
      <c r="A6" s="6">
        <v>2012</v>
      </c>
      <c r="B6" s="7" t="s">
        <v>38</v>
      </c>
      <c r="C6" s="22" t="s">
        <v>24</v>
      </c>
      <c r="D6" s="22" t="s">
        <v>27</v>
      </c>
      <c r="E6" s="8" t="s">
        <v>28</v>
      </c>
      <c r="F6" s="21" t="s">
        <v>20</v>
      </c>
      <c r="G6" s="11" t="s">
        <v>4</v>
      </c>
      <c r="H6" s="9">
        <v>1</v>
      </c>
      <c r="I6" s="9" t="s">
        <v>4</v>
      </c>
      <c r="J6" s="10" t="str">
        <f t="shared" si="0"/>
        <v/>
      </c>
    </row>
    <row r="7" spans="1:11" ht="15" customHeight="1" x14ac:dyDescent="0.35">
      <c r="A7" s="6">
        <v>2013</v>
      </c>
      <c r="B7" s="11" t="s">
        <v>4</v>
      </c>
      <c r="C7" s="11" t="s">
        <v>4</v>
      </c>
      <c r="D7" s="11" t="s">
        <v>4</v>
      </c>
      <c r="E7" s="11" t="s">
        <v>4</v>
      </c>
      <c r="F7" s="11" t="s">
        <v>4</v>
      </c>
      <c r="G7" s="11" t="s">
        <v>4</v>
      </c>
      <c r="H7" s="9" t="s">
        <v>4</v>
      </c>
      <c r="I7" s="9" t="s">
        <v>4</v>
      </c>
      <c r="J7" s="10" t="str">
        <f t="shared" si="0"/>
        <v/>
      </c>
    </row>
    <row r="8" spans="1:11" ht="15" customHeight="1" x14ac:dyDescent="0.35">
      <c r="A8" s="6">
        <v>2014</v>
      </c>
      <c r="B8" s="11" t="s">
        <v>4</v>
      </c>
      <c r="C8" s="11" t="s">
        <v>4</v>
      </c>
      <c r="D8" s="11" t="s">
        <v>4</v>
      </c>
      <c r="E8" s="11" t="s">
        <v>4</v>
      </c>
      <c r="F8" s="11" t="s">
        <v>4</v>
      </c>
      <c r="G8" s="11" t="s">
        <v>4</v>
      </c>
      <c r="H8" s="9" t="s">
        <v>4</v>
      </c>
      <c r="I8" s="9" t="s">
        <v>4</v>
      </c>
      <c r="J8" s="10" t="str">
        <f t="shared" si="0"/>
        <v/>
      </c>
    </row>
    <row r="9" spans="1:11" ht="15" customHeight="1" x14ac:dyDescent="0.35">
      <c r="A9" s="6">
        <v>2015</v>
      </c>
      <c r="B9" s="7" t="s">
        <v>26</v>
      </c>
      <c r="C9" s="22" t="s">
        <v>39</v>
      </c>
      <c r="D9" s="22" t="s">
        <v>27</v>
      </c>
      <c r="E9" s="8" t="s">
        <v>28</v>
      </c>
      <c r="F9" s="21" t="s">
        <v>21</v>
      </c>
      <c r="G9" s="11" t="s">
        <v>4</v>
      </c>
      <c r="H9" s="9">
        <v>1</v>
      </c>
      <c r="I9" s="9" t="s">
        <v>4</v>
      </c>
      <c r="J9" s="10" t="str">
        <f t="shared" ref="J9" si="1">IF(OR(AND(H9&gt;1,H9&lt;&gt;"-"),AND(I9&gt;1,I9&lt;&gt;"-")),"Can exchange","")</f>
        <v/>
      </c>
    </row>
    <row r="10" spans="1:11" ht="15" customHeight="1" x14ac:dyDescent="0.35">
      <c r="A10" s="6">
        <v>2016</v>
      </c>
      <c r="B10" s="11" t="s">
        <v>4</v>
      </c>
      <c r="C10" s="11" t="s">
        <v>4</v>
      </c>
      <c r="D10" s="11" t="s">
        <v>4</v>
      </c>
      <c r="E10" s="11" t="s">
        <v>4</v>
      </c>
      <c r="F10" s="11" t="s">
        <v>4</v>
      </c>
      <c r="G10" s="11" t="s">
        <v>4</v>
      </c>
      <c r="H10" s="9" t="s">
        <v>4</v>
      </c>
      <c r="I10" s="9" t="s">
        <v>4</v>
      </c>
      <c r="J10" s="10" t="str">
        <f t="shared" si="0"/>
        <v/>
      </c>
      <c r="K10" s="2"/>
    </row>
    <row r="11" spans="1:11" ht="15" customHeight="1" x14ac:dyDescent="0.35">
      <c r="A11" s="6">
        <v>2017</v>
      </c>
      <c r="B11" s="7" t="s">
        <v>25</v>
      </c>
      <c r="C11" s="22"/>
      <c r="D11" s="22" t="s">
        <v>27</v>
      </c>
      <c r="E11" s="8" t="s">
        <v>28</v>
      </c>
      <c r="F11" s="21" t="s">
        <v>22</v>
      </c>
      <c r="G11" s="11" t="s">
        <v>4</v>
      </c>
      <c r="H11" s="9">
        <v>1</v>
      </c>
      <c r="I11" s="9" t="s">
        <v>4</v>
      </c>
      <c r="J11" s="10" t="str">
        <f t="shared" si="0"/>
        <v/>
      </c>
    </row>
    <row r="12" spans="1:11" ht="15" customHeight="1" x14ac:dyDescent="0.35">
      <c r="A12" s="6">
        <v>2018</v>
      </c>
      <c r="B12" s="11" t="s">
        <v>4</v>
      </c>
      <c r="C12" s="11" t="s">
        <v>4</v>
      </c>
      <c r="D12" s="11" t="s">
        <v>4</v>
      </c>
      <c r="E12" s="11" t="s">
        <v>4</v>
      </c>
      <c r="F12" s="11" t="s">
        <v>4</v>
      </c>
      <c r="G12" s="11" t="s">
        <v>4</v>
      </c>
      <c r="H12" s="9" t="s">
        <v>4</v>
      </c>
      <c r="I12" s="9" t="s">
        <v>4</v>
      </c>
      <c r="J12" s="10" t="str">
        <f t="shared" ref="J12:J14" si="2">IF(OR(AND(H12&gt;1,H12&lt;&gt;"-"),AND(I12&gt;1,I12&lt;&gt;"-")),"Can exchange","")</f>
        <v/>
      </c>
    </row>
    <row r="13" spans="1:11" ht="15" customHeight="1" x14ac:dyDescent="0.35">
      <c r="A13" s="6">
        <v>2019</v>
      </c>
      <c r="B13" s="11" t="s">
        <v>4</v>
      </c>
      <c r="C13" s="11" t="s">
        <v>4</v>
      </c>
      <c r="D13" s="11" t="s">
        <v>4</v>
      </c>
      <c r="E13" s="11" t="s">
        <v>4</v>
      </c>
      <c r="F13" s="11" t="s">
        <v>4</v>
      </c>
      <c r="G13" s="11" t="s">
        <v>4</v>
      </c>
      <c r="H13" s="9" t="s">
        <v>4</v>
      </c>
      <c r="I13" s="9" t="s">
        <v>4</v>
      </c>
      <c r="J13" s="10" t="str">
        <f t="shared" si="2"/>
        <v/>
      </c>
    </row>
    <row r="14" spans="1:11" ht="15" customHeight="1" x14ac:dyDescent="0.35">
      <c r="A14" s="6">
        <v>2020</v>
      </c>
      <c r="B14" s="7" t="s">
        <v>31</v>
      </c>
      <c r="C14" s="22"/>
      <c r="D14" s="22" t="s">
        <v>27</v>
      </c>
      <c r="E14" s="8" t="s">
        <v>28</v>
      </c>
      <c r="F14" s="21" t="s">
        <v>30</v>
      </c>
      <c r="G14" s="11" t="s">
        <v>4</v>
      </c>
      <c r="H14" s="9">
        <v>1</v>
      </c>
      <c r="I14" s="9" t="s">
        <v>4</v>
      </c>
      <c r="J14" s="10" t="str">
        <f t="shared" si="2"/>
        <v/>
      </c>
    </row>
    <row r="15" spans="1:11" ht="15" customHeight="1" x14ac:dyDescent="0.35">
      <c r="A15" s="6">
        <v>2021</v>
      </c>
      <c r="B15" s="11" t="s">
        <v>4</v>
      </c>
      <c r="C15" s="11" t="s">
        <v>4</v>
      </c>
      <c r="D15" s="11" t="s">
        <v>4</v>
      </c>
      <c r="E15" s="11" t="s">
        <v>4</v>
      </c>
      <c r="F15" s="11" t="s">
        <v>4</v>
      </c>
      <c r="G15" s="11" t="s">
        <v>4</v>
      </c>
      <c r="H15" s="9" t="s">
        <v>4</v>
      </c>
      <c r="I15" s="9" t="s">
        <v>4</v>
      </c>
      <c r="J15" s="10" t="str">
        <f t="shared" ref="J15:J16" si="3">IF(OR(AND(H15&gt;1,H15&lt;&gt;"-"),AND(I15&gt;1,I15&lt;&gt;"-")),"Can exchange","")</f>
        <v/>
      </c>
    </row>
    <row r="16" spans="1:11" ht="15" customHeight="1" x14ac:dyDescent="0.35">
      <c r="A16" s="6">
        <v>2022</v>
      </c>
      <c r="B16" s="7" t="s">
        <v>32</v>
      </c>
      <c r="C16" s="22" t="s">
        <v>40</v>
      </c>
      <c r="D16" s="22" t="s">
        <v>27</v>
      </c>
      <c r="E16" s="8" t="s">
        <v>28</v>
      </c>
      <c r="F16" s="21" t="s">
        <v>30</v>
      </c>
      <c r="G16" s="11" t="s">
        <v>4</v>
      </c>
      <c r="H16" s="9">
        <v>1</v>
      </c>
      <c r="I16" s="9" t="s">
        <v>4</v>
      </c>
      <c r="J16" s="10" t="str">
        <f t="shared" si="3"/>
        <v/>
      </c>
    </row>
    <row r="17" spans="1:22" ht="15" customHeight="1" x14ac:dyDescent="0.35">
      <c r="A17" s="6">
        <v>2023</v>
      </c>
      <c r="B17" s="7" t="s">
        <v>33</v>
      </c>
      <c r="C17" s="22"/>
      <c r="D17" s="22" t="s">
        <v>27</v>
      </c>
      <c r="E17" s="8" t="s">
        <v>28</v>
      </c>
      <c r="F17" s="21" t="s">
        <v>30</v>
      </c>
      <c r="G17" s="11" t="s">
        <v>4</v>
      </c>
      <c r="H17" s="9">
        <v>1</v>
      </c>
      <c r="I17" s="9" t="s">
        <v>4</v>
      </c>
      <c r="J17" s="10" t="str">
        <f t="shared" ref="J17" si="4">IF(OR(AND(H17&gt;1,H17&lt;&gt;"-"),AND(I17&gt;1,I17&lt;&gt;"-")),"Can exchange","")</f>
        <v/>
      </c>
    </row>
    <row r="18" spans="1:22" ht="15" customHeight="1" x14ac:dyDescent="0.35">
      <c r="A18" s="6">
        <v>2024</v>
      </c>
      <c r="B18" s="7" t="s">
        <v>42</v>
      </c>
      <c r="C18" s="22"/>
      <c r="D18" s="22" t="s">
        <v>27</v>
      </c>
      <c r="E18" s="8" t="s">
        <v>28</v>
      </c>
      <c r="F18" s="25" t="s">
        <v>43</v>
      </c>
      <c r="G18" s="11" t="s">
        <v>4</v>
      </c>
      <c r="H18" s="26">
        <v>1</v>
      </c>
      <c r="I18" s="9" t="s">
        <v>4</v>
      </c>
      <c r="J18" s="10" t="str">
        <f t="shared" ref="J18:J19" si="5">IF(OR(AND(H18&gt;1,H18&lt;&gt;"-"),AND(I18&gt;1,I18&lt;&gt;"-")),"Can exchange","")</f>
        <v/>
      </c>
    </row>
    <row r="19" spans="1:22" ht="15" customHeight="1" x14ac:dyDescent="0.35">
      <c r="A19" s="6">
        <v>2025</v>
      </c>
      <c r="B19" s="11" t="s">
        <v>4</v>
      </c>
      <c r="C19" s="11" t="s">
        <v>4</v>
      </c>
      <c r="D19" s="11" t="s">
        <v>4</v>
      </c>
      <c r="E19" s="11" t="s">
        <v>4</v>
      </c>
      <c r="F19" s="11" t="s">
        <v>4</v>
      </c>
      <c r="G19" s="11" t="s">
        <v>4</v>
      </c>
      <c r="H19" s="9" t="s">
        <v>4</v>
      </c>
      <c r="I19" s="9" t="s">
        <v>4</v>
      </c>
      <c r="J19" s="10" t="str">
        <f t="shared" si="5"/>
        <v/>
      </c>
    </row>
    <row r="21" spans="1:22" ht="15" customHeight="1" x14ac:dyDescent="0.35">
      <c r="U21" s="23"/>
      <c r="V21" s="23"/>
    </row>
    <row r="38" spans="20:21" ht="15" customHeight="1" x14ac:dyDescent="0.35">
      <c r="T38" s="23"/>
      <c r="U38" s="23"/>
    </row>
  </sheetData>
  <autoFilter ref="B2:G2" xr:uid="{00000000-0001-0000-0000-000000000000}"/>
  <mergeCells count="4">
    <mergeCell ref="A1:A2"/>
    <mergeCell ref="F1:G1"/>
    <mergeCell ref="H1:I1"/>
    <mergeCell ref="C1:E1"/>
  </mergeCells>
  <conditionalFormatting sqref="H6:I6 H3:H5 H11:I11">
    <cfRule type="containsText" dxfId="27" priority="67" operator="containsText" text="*-">
      <formula>NOT(ISERROR(SEARCH(("*-"),(H3))))</formula>
    </cfRule>
  </conditionalFormatting>
  <conditionalFormatting sqref="H6:I6 H3:H5 H11:I11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26" priority="65" operator="containsText" text="*-">
      <formula>NOT(ISERROR(SEARCH(("*-"),(I3))))</formula>
    </cfRule>
  </conditionalFormatting>
  <conditionalFormatting sqref="I3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:I5">
    <cfRule type="containsText" dxfId="25" priority="63" operator="containsText" text="*-">
      <formula>NOT(ISERROR(SEARCH(("*-"),(I4))))</formula>
    </cfRule>
  </conditionalFormatting>
  <conditionalFormatting sqref="I4:I5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24" priority="61" operator="containsText" text="*-">
      <formula>NOT(ISERROR(SEARCH(("*-"),(H7))))</formula>
    </cfRule>
  </conditionalFormatting>
  <conditionalFormatting sqref="H7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23" priority="59" operator="containsText" text="*-">
      <formula>NOT(ISERROR(SEARCH(("*-"),(I7))))</formula>
    </cfRule>
  </conditionalFormatting>
  <conditionalFormatting sqref="I7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ntainsText" dxfId="22" priority="57" operator="containsText" text="*-">
      <formula>NOT(ISERROR(SEARCH(("*-"),(H8))))</formula>
    </cfRule>
  </conditionalFormatting>
  <conditionalFormatting sqref="H8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">
    <cfRule type="containsText" dxfId="21" priority="55" operator="containsText" text="*-">
      <formula>NOT(ISERROR(SEARCH(("*-"),(I8))))</formula>
    </cfRule>
  </conditionalFormatting>
  <conditionalFormatting sqref="I8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:I9">
    <cfRule type="containsText" dxfId="20" priority="49" operator="containsText" text="*-">
      <formula>NOT(ISERROR(SEARCH(("*-"),(H9))))</formula>
    </cfRule>
  </conditionalFormatting>
  <conditionalFormatting sqref="H9:I9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">
    <cfRule type="containsText" dxfId="19" priority="47" operator="containsText" text="*-">
      <formula>NOT(ISERROR(SEARCH(("*-"),(H10))))</formula>
    </cfRule>
  </conditionalFormatting>
  <conditionalFormatting sqref="H10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">
    <cfRule type="containsText" dxfId="18" priority="45" operator="containsText" text="*-">
      <formula>NOT(ISERROR(SEARCH(("*-"),(I10))))</formula>
    </cfRule>
  </conditionalFormatting>
  <conditionalFormatting sqref="I10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17" priority="43" operator="containsText" text="*-">
      <formula>NOT(ISERROR(SEARCH(("*-"),(H12))))</formula>
    </cfRule>
  </conditionalFormatting>
  <conditionalFormatting sqref="H12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">
    <cfRule type="containsText" dxfId="16" priority="41" operator="containsText" text="*-">
      <formula>NOT(ISERROR(SEARCH(("*-"),(I12))))</formula>
    </cfRule>
  </conditionalFormatting>
  <conditionalFormatting sqref="I12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15" priority="39" operator="containsText" text="*-">
      <formula>NOT(ISERROR(SEARCH(("*-"),(H13))))</formula>
    </cfRule>
  </conditionalFormatting>
  <conditionalFormatting sqref="H13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14" priority="37" operator="containsText" text="*-">
      <formula>NOT(ISERROR(SEARCH(("*-"),(I13))))</formula>
    </cfRule>
  </conditionalFormatting>
  <conditionalFormatting sqref="I13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:I14">
    <cfRule type="containsText" dxfId="13" priority="31" operator="containsText" text="*-">
      <formula>NOT(ISERROR(SEARCH(("*-"),(H14))))</formula>
    </cfRule>
  </conditionalFormatting>
  <conditionalFormatting sqref="H14:I14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">
    <cfRule type="containsText" dxfId="12" priority="29" operator="containsText" text="*-">
      <formula>NOT(ISERROR(SEARCH(("*-"),(H15))))</formula>
    </cfRule>
  </conditionalFormatting>
  <conditionalFormatting sqref="H15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">
    <cfRule type="containsText" dxfId="11" priority="27" operator="containsText" text="*-">
      <formula>NOT(ISERROR(SEARCH(("*-"),(I15))))</formula>
    </cfRule>
  </conditionalFormatting>
  <conditionalFormatting sqref="I1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">
    <cfRule type="containsText" dxfId="10" priority="25" operator="containsText" text="*-">
      <formula>NOT(ISERROR(SEARCH(("*-"),(I16))))</formula>
    </cfRule>
  </conditionalFormatting>
  <conditionalFormatting sqref="I1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">
    <cfRule type="containsText" dxfId="9" priority="21" operator="containsText" text="*-">
      <formula>NOT(ISERROR(SEARCH(("*-"),(I17))))</formula>
    </cfRule>
  </conditionalFormatting>
  <conditionalFormatting sqref="I1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8" priority="17" operator="containsText" text="*-">
      <formula>NOT(ISERROR(SEARCH(("*-"),(H16))))</formula>
    </cfRule>
  </conditionalFormatting>
  <conditionalFormatting sqref="H1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7" priority="15" operator="containsText" text="*-">
      <formula>NOT(ISERROR(SEARCH(("*-"),(H17))))</formula>
    </cfRule>
  </conditionalFormatting>
  <conditionalFormatting sqref="H17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">
    <cfRule type="containsText" dxfId="6" priority="9" operator="containsText" text="*-">
      <formula>NOT(ISERROR(SEARCH(("*-"),(I18))))</formula>
    </cfRule>
  </conditionalFormatting>
  <conditionalFormatting sqref="I1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">
    <cfRule type="containsText" dxfId="5" priority="5" operator="containsText" text="*-">
      <formula>NOT(ISERROR(SEARCH(("*-"),(H18))))</formula>
    </cfRule>
  </conditionalFormatting>
  <conditionalFormatting sqref="H1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1" priority="3" operator="containsText" text="*-">
      <formula>NOT(ISERROR(SEARCH(("*-"),(H19))))</formula>
    </cfRule>
  </conditionalFormatting>
  <conditionalFormatting sqref="H1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">
    <cfRule type="containsText" dxfId="0" priority="1" operator="containsText" text="*-">
      <formula>NOT(ISERROR(SEARCH(("*-"),(I19))))</formula>
    </cfRule>
  </conditionalFormatting>
  <conditionalFormatting sqref="I1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14" t="s">
        <v>5</v>
      </c>
      <c r="B1" s="15" t="s">
        <v>6</v>
      </c>
      <c r="C1" s="16" t="s">
        <v>7</v>
      </c>
    </row>
    <row r="2" spans="1:3" x14ac:dyDescent="0.35">
      <c r="A2" s="17">
        <v>1</v>
      </c>
      <c r="B2" s="18" t="s">
        <v>8</v>
      </c>
      <c r="C2" s="19" t="s">
        <v>9</v>
      </c>
    </row>
    <row r="3" spans="1:3" x14ac:dyDescent="0.35">
      <c r="A3" s="17">
        <v>2</v>
      </c>
      <c r="B3" s="18" t="s">
        <v>10</v>
      </c>
      <c r="C3" s="19" t="s">
        <v>11</v>
      </c>
    </row>
    <row r="4" spans="1:3" x14ac:dyDescent="0.35">
      <c r="A4" s="17">
        <v>3</v>
      </c>
      <c r="B4" s="18" t="s">
        <v>12</v>
      </c>
      <c r="C4" s="19" t="s">
        <v>13</v>
      </c>
    </row>
    <row r="5" spans="1:3" x14ac:dyDescent="0.35">
      <c r="A5" s="17">
        <v>4</v>
      </c>
      <c r="B5" s="18" t="s">
        <v>14</v>
      </c>
      <c r="C5" s="19" t="s">
        <v>15</v>
      </c>
    </row>
    <row r="6" spans="1:3" x14ac:dyDescent="0.35">
      <c r="A6" s="17">
        <v>5</v>
      </c>
      <c r="B6" s="18" t="s">
        <v>16</v>
      </c>
      <c r="C6" s="20" t="s">
        <v>17</v>
      </c>
    </row>
    <row r="7" spans="1:3" x14ac:dyDescent="0.35">
      <c r="A7" s="17">
        <v>6</v>
      </c>
      <c r="B7" s="18" t="s">
        <v>16</v>
      </c>
      <c r="C7" s="20" t="s">
        <v>18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6" r:id="rId5" xr:uid="{00000000-0004-0000-0100-000004000000}"/>
    <hyperlink ref="B7" r:id="rId6" xr:uid="{00000000-0004-0000-01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2026-02-12T09:23:32Z</dcterms:modified>
</cp:coreProperties>
</file>