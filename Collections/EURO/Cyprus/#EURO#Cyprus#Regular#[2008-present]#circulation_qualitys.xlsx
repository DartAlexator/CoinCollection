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Lord_Alexator\Documents\CoinCollection\Collections\EURO\Cyprus\"/>
    </mc:Choice>
  </mc:AlternateContent>
  <xr:revisionPtr revIDLastSave="0" documentId="13_ncr:1_{15391FE2-8B4D-46A9-88CE-D082FDB68D7E}" xr6:coauthVersionLast="47" xr6:coauthVersionMax="47" xr10:uidLastSave="{00000000-0000-0000-0000-000000000000}"/>
  <bookViews>
    <workbookView xWindow="-110" yWindow="-110" windowWidth="38620" windowHeight="21220" activeTab="7" xr2:uid="{00000000-000D-0000-FFFF-FFFF00000000}"/>
  </bookViews>
  <sheets>
    <sheet name="1cent" sheetId="4" r:id="rId1"/>
    <sheet name="2cents" sheetId="5" r:id="rId2"/>
    <sheet name="5cents" sheetId="7" r:id="rId3"/>
    <sheet name="10cents" sheetId="8" r:id="rId4"/>
    <sheet name="20cents" sheetId="9" r:id="rId5"/>
    <sheet name="50cents" sheetId="10" r:id="rId6"/>
    <sheet name="1€" sheetId="11" r:id="rId7"/>
    <sheet name="2€" sheetId="12" r:id="rId8"/>
    <sheet name="Links" sheetId="6" r:id="rId9"/>
  </sheets>
  <definedNames>
    <definedName name="_xlnm._FilterDatabase" localSheetId="6" hidden="1">'1€'!$B$2:$F$2</definedName>
    <definedName name="_xlnm._FilterDatabase" localSheetId="3" hidden="1">'10cents'!$B$2:$F$2</definedName>
    <definedName name="_xlnm._FilterDatabase" localSheetId="0" hidden="1">'1cent'!$B$2:$F$2</definedName>
    <definedName name="_xlnm._FilterDatabase" localSheetId="7" hidden="1">'2€'!$B$2:$F$2</definedName>
    <definedName name="_xlnm._FilterDatabase" localSheetId="4" hidden="1">'20cents'!$B$2:$F$2</definedName>
    <definedName name="_xlnm._FilterDatabase" localSheetId="1" hidden="1">'2cents'!$B$2:$F$2</definedName>
    <definedName name="_xlnm._FilterDatabase" localSheetId="5" hidden="1">'50cents'!$B$2:$F$2</definedName>
    <definedName name="_xlnm._FilterDatabase" localSheetId="2" hidden="1">'5cents'!$B$2:$F$2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20" i="12" l="1"/>
  <c r="I19" i="12"/>
  <c r="I20" i="11"/>
  <c r="I19" i="11"/>
  <c r="I20" i="10"/>
  <c r="I19" i="10"/>
  <c r="I20" i="9"/>
  <c r="I19" i="9"/>
  <c r="I20" i="8"/>
  <c r="I19" i="8"/>
  <c r="I20" i="7"/>
  <c r="I19" i="7"/>
  <c r="I20" i="5"/>
  <c r="I19" i="5"/>
  <c r="I20" i="4"/>
  <c r="I19" i="4" l="1"/>
  <c r="I16" i="4"/>
  <c r="I17" i="4"/>
  <c r="I18" i="4"/>
  <c r="I16" i="5"/>
  <c r="I17" i="5"/>
  <c r="I18" i="5"/>
  <c r="I16" i="7"/>
  <c r="I17" i="7"/>
  <c r="I18" i="7"/>
  <c r="I16" i="8"/>
  <c r="I17" i="8"/>
  <c r="I18" i="8"/>
  <c r="I16" i="9"/>
  <c r="I17" i="9"/>
  <c r="I18" i="9"/>
  <c r="I16" i="10"/>
  <c r="I17" i="10"/>
  <c r="I18" i="10"/>
  <c r="I16" i="11"/>
  <c r="I17" i="11"/>
  <c r="I18" i="11"/>
  <c r="I16" i="12"/>
  <c r="I17" i="12"/>
  <c r="I18" i="12"/>
  <c r="I15" i="12"/>
  <c r="I15" i="11"/>
  <c r="I15" i="10"/>
  <c r="I15" i="9"/>
  <c r="I15" i="8"/>
  <c r="I15" i="7"/>
  <c r="I15" i="5"/>
  <c r="I15" i="4"/>
  <c r="I14" i="12" l="1"/>
  <c r="I13" i="12"/>
  <c r="I12" i="12"/>
  <c r="I11" i="12"/>
  <c r="I10" i="12"/>
  <c r="I9" i="12"/>
  <c r="I8" i="12"/>
  <c r="I7" i="12"/>
  <c r="I6" i="12"/>
  <c r="I5" i="12"/>
  <c r="I4" i="12"/>
  <c r="I3" i="12"/>
  <c r="I14" i="11"/>
  <c r="I13" i="11"/>
  <c r="I12" i="11"/>
  <c r="I11" i="11"/>
  <c r="I10" i="11"/>
  <c r="I9" i="11"/>
  <c r="I8" i="11"/>
  <c r="I7" i="11"/>
  <c r="I6" i="11"/>
  <c r="I5" i="11"/>
  <c r="I4" i="11"/>
  <c r="I3" i="11"/>
  <c r="I14" i="10"/>
  <c r="I13" i="10"/>
  <c r="I12" i="10"/>
  <c r="I11" i="10"/>
  <c r="I10" i="10"/>
  <c r="I9" i="10"/>
  <c r="I8" i="10"/>
  <c r="I7" i="10"/>
  <c r="I6" i="10"/>
  <c r="I5" i="10"/>
  <c r="I4" i="10"/>
  <c r="I3" i="10"/>
  <c r="I14" i="9"/>
  <c r="I13" i="9"/>
  <c r="I12" i="9"/>
  <c r="I11" i="9"/>
  <c r="I10" i="9"/>
  <c r="I9" i="9"/>
  <c r="I8" i="9"/>
  <c r="I7" i="9"/>
  <c r="I6" i="9"/>
  <c r="I5" i="9"/>
  <c r="I4" i="9"/>
  <c r="I3" i="9"/>
  <c r="I14" i="8"/>
  <c r="I13" i="8"/>
  <c r="I12" i="8"/>
  <c r="I11" i="8"/>
  <c r="I10" i="8"/>
  <c r="I9" i="8"/>
  <c r="I8" i="8"/>
  <c r="I7" i="8"/>
  <c r="I6" i="8"/>
  <c r="I5" i="8"/>
  <c r="I4" i="8"/>
  <c r="I3" i="8"/>
  <c r="I14" i="7"/>
  <c r="I13" i="7"/>
  <c r="I12" i="7"/>
  <c r="I11" i="7"/>
  <c r="I10" i="7"/>
  <c r="I9" i="7"/>
  <c r="I8" i="7"/>
  <c r="I7" i="7"/>
  <c r="I6" i="7"/>
  <c r="I5" i="7"/>
  <c r="I4" i="7"/>
  <c r="I3" i="7"/>
  <c r="I14" i="5"/>
  <c r="I13" i="5"/>
  <c r="I12" i="5"/>
  <c r="I11" i="5"/>
  <c r="I10" i="5"/>
  <c r="I9" i="5"/>
  <c r="I8" i="5"/>
  <c r="I7" i="5"/>
  <c r="I6" i="5"/>
  <c r="I5" i="5"/>
  <c r="I4" i="5"/>
  <c r="I3" i="5"/>
  <c r="I5" i="4" l="1"/>
  <c r="I6" i="4"/>
  <c r="I7" i="4"/>
  <c r="I8" i="4"/>
  <c r="I9" i="4"/>
  <c r="I10" i="4"/>
  <c r="I11" i="4"/>
  <c r="I12" i="4"/>
  <c r="I13" i="4"/>
  <c r="I14" i="4"/>
  <c r="I3" i="4" l="1"/>
  <c r="I4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Илюшин Алексей</author>
    <author>Автор</author>
  </authors>
  <commentList>
    <comment ref="E2" authorId="0" shapeId="0" xr:uid="{00000000-0006-0000-0000-000001000000}">
      <text>
        <r>
          <rPr>
            <b/>
            <sz val="9"/>
            <color indexed="81"/>
            <rFont val="Tahoma"/>
            <family val="2"/>
            <charset val="204"/>
          </rPr>
          <t>Τράπεζα της Ελλάδος
(Athens mint)</t>
        </r>
      </text>
    </comment>
    <comment ref="F2" authorId="1" shapeId="0" xr:uid="{1B72EB20-7E62-4728-B3A0-47B473A61918}">
      <text>
        <r>
          <rPr>
            <b/>
            <sz val="9"/>
            <color indexed="81"/>
            <rFont val="Tahoma"/>
            <family val="2"/>
            <charset val="204"/>
          </rPr>
          <t>Suomen Rahapaja
(Finland (Vantaa) mint)</t>
        </r>
      </text>
    </comment>
    <comment ref="G2" authorId="0" shapeId="0" xr:uid="{00000000-0006-0000-0000-000003000000}">
      <text>
        <r>
          <rPr>
            <b/>
            <sz val="9"/>
            <color indexed="81"/>
            <rFont val="Tahoma"/>
            <family val="2"/>
            <charset val="204"/>
          </rPr>
          <t>Τράπεζα της Ελλάδος
(Athens mint)</t>
        </r>
      </text>
    </comment>
    <comment ref="H2" authorId="1" shapeId="0" xr:uid="{1B155AC4-FCBB-423A-96CA-C211048C6419}">
      <text>
        <r>
          <rPr>
            <b/>
            <sz val="9"/>
            <color indexed="81"/>
            <rFont val="Tahoma"/>
            <family val="2"/>
            <charset val="204"/>
          </rPr>
          <t>Suomen Rahapaja
(Finland (Vantaa) mint)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Илюшин Алексей</author>
    <author>Автор</author>
  </authors>
  <commentList>
    <comment ref="E2" authorId="0" shapeId="0" xr:uid="{A0946806-07D9-4431-8DD4-B8D7B321BB9A}">
      <text>
        <r>
          <rPr>
            <b/>
            <sz val="9"/>
            <color indexed="81"/>
            <rFont val="Tahoma"/>
            <family val="2"/>
            <charset val="204"/>
          </rPr>
          <t>Τράπεζα της Ελλάδος
(Athens mint)</t>
        </r>
      </text>
    </comment>
    <comment ref="F2" authorId="1" shapeId="0" xr:uid="{9997A0D9-5D44-4C80-BAA1-3C67FD8C0BF6}">
      <text>
        <r>
          <rPr>
            <b/>
            <sz val="9"/>
            <color indexed="81"/>
            <rFont val="Tahoma"/>
            <family val="2"/>
            <charset val="204"/>
          </rPr>
          <t>Suomen Rahapaja
(Finland (Vantaa) mint)</t>
        </r>
      </text>
    </comment>
    <comment ref="G2" authorId="0" shapeId="0" xr:uid="{59E6C079-61D7-4E63-8EA2-A25BA41DF950}">
      <text>
        <r>
          <rPr>
            <b/>
            <sz val="9"/>
            <color indexed="81"/>
            <rFont val="Tahoma"/>
            <family val="2"/>
            <charset val="204"/>
          </rPr>
          <t>Τράπεζα της Ελλάδος
(Athens mint)</t>
        </r>
      </text>
    </comment>
    <comment ref="H2" authorId="1" shapeId="0" xr:uid="{06CD5B8F-7429-4FE0-8F98-2E5CBD511512}">
      <text>
        <r>
          <rPr>
            <b/>
            <sz val="9"/>
            <color indexed="81"/>
            <rFont val="Tahoma"/>
            <family val="2"/>
            <charset val="204"/>
          </rPr>
          <t>Suomen Rahapaja
(Finland (Vantaa) mint)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Илюшин Алексей</author>
    <author>Автор</author>
  </authors>
  <commentList>
    <comment ref="E2" authorId="0" shapeId="0" xr:uid="{AAA546D2-D12C-4B3C-8500-F3EA5BF1A503}">
      <text>
        <r>
          <rPr>
            <b/>
            <sz val="9"/>
            <color indexed="81"/>
            <rFont val="Tahoma"/>
            <family val="2"/>
            <charset val="204"/>
          </rPr>
          <t>Τράπεζα της Ελλάδος
(Athens mint)</t>
        </r>
      </text>
    </comment>
    <comment ref="F2" authorId="1" shapeId="0" xr:uid="{7468ED5A-5D30-4BF4-A75A-FA70B37EA81E}">
      <text>
        <r>
          <rPr>
            <b/>
            <sz val="9"/>
            <color indexed="81"/>
            <rFont val="Tahoma"/>
            <family val="2"/>
            <charset val="204"/>
          </rPr>
          <t>Suomen Rahapaja
(Finland (Vantaa) mint)</t>
        </r>
      </text>
    </comment>
    <comment ref="G2" authorId="0" shapeId="0" xr:uid="{E18A1301-DDE5-4FF7-9CE7-0FCCD34095C5}">
      <text>
        <r>
          <rPr>
            <b/>
            <sz val="9"/>
            <color indexed="81"/>
            <rFont val="Tahoma"/>
            <family val="2"/>
            <charset val="204"/>
          </rPr>
          <t>Τράπεζα της Ελλάδος
(Athens mint)</t>
        </r>
      </text>
    </comment>
    <comment ref="H2" authorId="1" shapeId="0" xr:uid="{47536DD8-8236-4A23-89CC-16073266804E}">
      <text>
        <r>
          <rPr>
            <b/>
            <sz val="9"/>
            <color indexed="81"/>
            <rFont val="Tahoma"/>
            <family val="2"/>
            <charset val="204"/>
          </rPr>
          <t>Suomen Rahapaja
(Finland (Vantaa) mint)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Илюшин Алексей</author>
    <author>Автор</author>
  </authors>
  <commentList>
    <comment ref="E2" authorId="0" shapeId="0" xr:uid="{F9DE88E1-33C5-4B18-B19F-3E7B19A59B5D}">
      <text>
        <r>
          <rPr>
            <b/>
            <sz val="9"/>
            <color indexed="81"/>
            <rFont val="Tahoma"/>
            <family val="2"/>
            <charset val="204"/>
          </rPr>
          <t>Τράπεζα της Ελλάδος
(Athens mint)</t>
        </r>
      </text>
    </comment>
    <comment ref="F2" authorId="1" shapeId="0" xr:uid="{6E5D0645-18C5-4759-87F0-69CD8AB14BBB}">
      <text>
        <r>
          <rPr>
            <b/>
            <sz val="9"/>
            <color indexed="81"/>
            <rFont val="Tahoma"/>
            <family val="2"/>
            <charset val="204"/>
          </rPr>
          <t>Suomen Rahapaja
(Finland (Vantaa) mint)</t>
        </r>
      </text>
    </comment>
    <comment ref="G2" authorId="0" shapeId="0" xr:uid="{44550975-3E40-46A3-A558-CBC07F266C97}">
      <text>
        <r>
          <rPr>
            <b/>
            <sz val="9"/>
            <color indexed="81"/>
            <rFont val="Tahoma"/>
            <family val="2"/>
            <charset val="204"/>
          </rPr>
          <t>Τράπεζα της Ελλάδος
(Athens mint)</t>
        </r>
      </text>
    </comment>
    <comment ref="H2" authorId="1" shapeId="0" xr:uid="{9F50BBB7-8BF6-45B0-BA1C-A271D5925E02}">
      <text>
        <r>
          <rPr>
            <b/>
            <sz val="9"/>
            <color indexed="81"/>
            <rFont val="Tahoma"/>
            <family val="2"/>
            <charset val="204"/>
          </rPr>
          <t>Suomen Rahapaja
(Finland (Vantaa) mint)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Илюшин Алексей</author>
    <author>Автор</author>
  </authors>
  <commentList>
    <comment ref="E2" authorId="0" shapeId="0" xr:uid="{8DC37F0A-A4F4-47A2-86B0-BC9A869C3378}">
      <text>
        <r>
          <rPr>
            <b/>
            <sz val="9"/>
            <color indexed="81"/>
            <rFont val="Tahoma"/>
            <family val="2"/>
            <charset val="204"/>
          </rPr>
          <t>Τράπεζα της Ελλάδος
(Athens mint)</t>
        </r>
      </text>
    </comment>
    <comment ref="F2" authorId="1" shapeId="0" xr:uid="{BB0452FA-957B-49DC-B934-84475D9F3C89}">
      <text>
        <r>
          <rPr>
            <b/>
            <sz val="9"/>
            <color indexed="81"/>
            <rFont val="Tahoma"/>
            <family val="2"/>
            <charset val="204"/>
          </rPr>
          <t>Suomen Rahapaja
(Finland (Vantaa) mint)</t>
        </r>
      </text>
    </comment>
    <comment ref="G2" authorId="0" shapeId="0" xr:uid="{55ADD135-DC11-4656-9D8A-E332BAEABA2D}">
      <text>
        <r>
          <rPr>
            <b/>
            <sz val="9"/>
            <color indexed="81"/>
            <rFont val="Tahoma"/>
            <family val="2"/>
            <charset val="204"/>
          </rPr>
          <t>Τράπεζα της Ελλάδος
(Athens mint)</t>
        </r>
      </text>
    </comment>
    <comment ref="H2" authorId="1" shapeId="0" xr:uid="{EC6CCE23-A7C4-4535-993A-0849E0ADD7B0}">
      <text>
        <r>
          <rPr>
            <b/>
            <sz val="9"/>
            <color indexed="81"/>
            <rFont val="Tahoma"/>
            <family val="2"/>
            <charset val="204"/>
          </rPr>
          <t>Suomen Rahapaja
(Finland (Vantaa) mint)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Илюшин Алексей</author>
    <author>Автор</author>
  </authors>
  <commentList>
    <comment ref="E2" authorId="0" shapeId="0" xr:uid="{330710E2-CAB1-46D2-86E1-CB82CF7A25DB}">
      <text>
        <r>
          <rPr>
            <b/>
            <sz val="9"/>
            <color indexed="81"/>
            <rFont val="Tahoma"/>
            <family val="2"/>
            <charset val="204"/>
          </rPr>
          <t>Τράπεζα της Ελλάδος
(Athens mint)</t>
        </r>
      </text>
    </comment>
    <comment ref="F2" authorId="1" shapeId="0" xr:uid="{A2B267D3-3FF4-4E2A-A76A-7DC33A31D2D0}">
      <text>
        <r>
          <rPr>
            <b/>
            <sz val="9"/>
            <color indexed="81"/>
            <rFont val="Tahoma"/>
            <family val="2"/>
            <charset val="204"/>
          </rPr>
          <t>Suomen Rahapaja
(Finland (Vantaa) mint)</t>
        </r>
      </text>
    </comment>
    <comment ref="G2" authorId="0" shapeId="0" xr:uid="{87456744-A828-4E06-BC52-3056A7F7B78F}">
      <text>
        <r>
          <rPr>
            <b/>
            <sz val="9"/>
            <color indexed="81"/>
            <rFont val="Tahoma"/>
            <family val="2"/>
            <charset val="204"/>
          </rPr>
          <t>Τράπεζα της Ελλάδος
(Athens mint)</t>
        </r>
      </text>
    </comment>
    <comment ref="H2" authorId="1" shapeId="0" xr:uid="{F7A0308F-A722-427B-9735-0ADB05CC6DE4}">
      <text>
        <r>
          <rPr>
            <b/>
            <sz val="9"/>
            <color indexed="81"/>
            <rFont val="Tahoma"/>
            <family val="2"/>
            <charset val="204"/>
          </rPr>
          <t>Suomen Rahapaja
(Finland (Vantaa) mint)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Илюшин Алексей</author>
    <author>Автор</author>
  </authors>
  <commentList>
    <comment ref="E2" authorId="0" shapeId="0" xr:uid="{EBC75FF7-DE97-47D2-BE9A-2559ED001E08}">
      <text>
        <r>
          <rPr>
            <b/>
            <sz val="9"/>
            <color indexed="81"/>
            <rFont val="Tahoma"/>
            <family val="2"/>
            <charset val="204"/>
          </rPr>
          <t>Τράπεζα της Ελλάδος
(Athens mint)</t>
        </r>
      </text>
    </comment>
    <comment ref="F2" authorId="1" shapeId="0" xr:uid="{3D124A2C-0A48-4E99-A765-49CC15231952}">
      <text>
        <r>
          <rPr>
            <b/>
            <sz val="9"/>
            <color indexed="81"/>
            <rFont val="Tahoma"/>
            <family val="2"/>
            <charset val="204"/>
          </rPr>
          <t>Suomen Rahapaja
(Finland (Vantaa) mint)</t>
        </r>
      </text>
    </comment>
    <comment ref="G2" authorId="0" shapeId="0" xr:uid="{F097BDB7-8933-4D3E-9DCD-E96276A2F3E8}">
      <text>
        <r>
          <rPr>
            <b/>
            <sz val="9"/>
            <color indexed="81"/>
            <rFont val="Tahoma"/>
            <family val="2"/>
            <charset val="204"/>
          </rPr>
          <t>Τράπεζα της Ελλάδος
(Athens mint)</t>
        </r>
      </text>
    </comment>
    <comment ref="H2" authorId="1" shapeId="0" xr:uid="{1EAF639A-61DE-414F-84DE-73A605249D2F}">
      <text>
        <r>
          <rPr>
            <b/>
            <sz val="9"/>
            <color indexed="81"/>
            <rFont val="Tahoma"/>
            <family val="2"/>
            <charset val="204"/>
          </rPr>
          <t>Suomen Rahapaja
(Finland (Vantaa) mint)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Илюшин Алексей</author>
    <author>Автор</author>
  </authors>
  <commentList>
    <comment ref="E2" authorId="0" shapeId="0" xr:uid="{A4889934-03DA-48E4-982A-A6DE29E2FCEB}">
      <text>
        <r>
          <rPr>
            <b/>
            <sz val="9"/>
            <color indexed="81"/>
            <rFont val="Tahoma"/>
            <family val="2"/>
            <charset val="204"/>
          </rPr>
          <t>Τράπεζα της Ελλάδος
(Athens mint)</t>
        </r>
      </text>
    </comment>
    <comment ref="F2" authorId="1" shapeId="0" xr:uid="{7818B9D6-F01E-48F7-A559-84C8405B55CB}">
      <text>
        <r>
          <rPr>
            <b/>
            <sz val="9"/>
            <color indexed="81"/>
            <rFont val="Tahoma"/>
            <family val="2"/>
            <charset val="204"/>
          </rPr>
          <t>Suomen Rahapaja
(Finland (Vantaa) mint)</t>
        </r>
      </text>
    </comment>
    <comment ref="G2" authorId="0" shapeId="0" xr:uid="{36695E84-F4AD-45CB-9928-90909ABA819C}">
      <text>
        <r>
          <rPr>
            <b/>
            <sz val="9"/>
            <color indexed="81"/>
            <rFont val="Tahoma"/>
            <family val="2"/>
            <charset val="204"/>
          </rPr>
          <t>Τράπεζα της Ελλάδος
(Athens mint)</t>
        </r>
      </text>
    </comment>
    <comment ref="H2" authorId="1" shapeId="0" xr:uid="{19621E71-8B9B-443E-BD70-35368F5415EB}">
      <text>
        <r>
          <rPr>
            <b/>
            <sz val="9"/>
            <color indexed="81"/>
            <rFont val="Tahoma"/>
            <family val="2"/>
            <charset val="204"/>
          </rPr>
          <t>Suomen Rahapaja
(Finland (Vantaa) mint)</t>
        </r>
      </text>
    </comment>
  </commentList>
</comments>
</file>

<file path=xl/sharedStrings.xml><?xml version="1.0" encoding="utf-8"?>
<sst xmlns="http://schemas.openxmlformats.org/spreadsheetml/2006/main" count="924" uniqueCount="89">
  <si>
    <t>-</t>
  </si>
  <si>
    <t>Year</t>
  </si>
  <si>
    <t>Type</t>
  </si>
  <si>
    <t>Mintage</t>
  </si>
  <si>
    <t>1cent</t>
  </si>
  <si>
    <t>2cents</t>
  </si>
  <si>
    <t>5cents</t>
  </si>
  <si>
    <t>10cents</t>
  </si>
  <si>
    <t>20cents</t>
  </si>
  <si>
    <t>50cents</t>
  </si>
  <si>
    <t>1€</t>
  </si>
  <si>
    <t>№</t>
  </si>
  <si>
    <t>Link</t>
  </si>
  <si>
    <t>Description (single table, table set, mintage, prices):</t>
  </si>
  <si>
    <t>en.ucoin.net</t>
  </si>
  <si>
    <t>Middle convenience set of table with mintages and varieties</t>
  </si>
  <si>
    <t>Middle convenience single table with mintages</t>
  </si>
  <si>
    <t>euro-coins</t>
  </si>
  <si>
    <t>euro-coins.info</t>
  </si>
  <si>
    <t>img-fotki.yandex</t>
  </si>
  <si>
    <t>Photo of coins</t>
  </si>
  <si>
    <t>2€</t>
  </si>
  <si>
    <t>eurocollection</t>
  </si>
  <si>
    <t>Low convenience table of varieties</t>
  </si>
  <si>
    <t>High convenience single table of varieties with photos</t>
  </si>
  <si>
    <t>High convenience set of tables table of actual coins with photos</t>
  </si>
  <si>
    <t>GR</t>
  </si>
  <si>
    <t>40.000.000</t>
  </si>
  <si>
    <t>20.000.000</t>
  </si>
  <si>
    <t>200.000</t>
  </si>
  <si>
    <t>15.210.000</t>
  </si>
  <si>
    <t>210.000</t>
  </si>
  <si>
    <t>100.000</t>
  </si>
  <si>
    <t>7.100.000</t>
  </si>
  <si>
    <t>8.000.000</t>
  </si>
  <si>
    <t>11.100.000</t>
  </si>
  <si>
    <t>9.100.000</t>
  </si>
  <si>
    <t>100.000.000</t>
  </si>
  <si>
    <t>1.000.000</t>
  </si>
  <si>
    <t>30.210.000</t>
  </si>
  <si>
    <t>8.100.000</t>
  </si>
  <si>
    <t>60.000.000</t>
  </si>
  <si>
    <t>6.000.000</t>
  </si>
  <si>
    <t>5.600.000</t>
  </si>
  <si>
    <t>70.000.000</t>
  </si>
  <si>
    <t>6.100.000</t>
  </si>
  <si>
    <t>65.000.000</t>
  </si>
  <si>
    <t>1.400.000</t>
  </si>
  <si>
    <t>30.000.000</t>
  </si>
  <si>
    <t>28.000.000</t>
  </si>
  <si>
    <t>4.000.000</t>
  </si>
  <si>
    <t>25.000.000</t>
  </si>
  <si>
    <t>5.000.000</t>
  </si>
  <si>
    <t>Obv: Without mint symbol</t>
  </si>
  <si>
    <t>Rev: new map of Europe</t>
  </si>
  <si>
    <t>Obv: Mouflon</t>
  </si>
  <si>
    <t>Obv: Kyrenia ship</t>
  </si>
  <si>
    <t>Obv: Idol of Pomos</t>
  </si>
  <si>
    <t>FI</t>
  </si>
  <si>
    <t>8.005.000</t>
  </si>
  <si>
    <t>8.405.000</t>
  </si>
  <si>
    <t>7.505.000</t>
  </si>
  <si>
    <t>1.705.000</t>
  </si>
  <si>
    <t>4.305.000</t>
  </si>
  <si>
    <t>1.505.000</t>
  </si>
  <si>
    <t>105.000</t>
  </si>
  <si>
    <t>3.305.000</t>
  </si>
  <si>
    <t>9.155.000</t>
  </si>
  <si>
    <t>12.605.000</t>
  </si>
  <si>
    <t>7.955.000</t>
  </si>
  <si>
    <t>4.445.000</t>
  </si>
  <si>
    <t>4.805.000</t>
  </si>
  <si>
    <t>1.925.000</t>
  </si>
  <si>
    <t>1.580.000</t>
  </si>
  <si>
    <t>3.005.000</t>
  </si>
  <si>
    <t>9.905.000</t>
  </si>
  <si>
    <t>9.755.000</t>
  </si>
  <si>
    <t>8.855.000</t>
  </si>
  <si>
    <t>5.165.000</t>
  </si>
  <si>
    <t>1.730.000</t>
  </si>
  <si>
    <t>3.755.000</t>
  </si>
  <si>
    <t>600.000</t>
  </si>
  <si>
    <t>800.000</t>
  </si>
  <si>
    <t>250.000</t>
  </si>
  <si>
    <t>468.000</t>
  </si>
  <si>
    <t>Subject</t>
  </si>
  <si>
    <t>Subtype_1#Special_marks_1</t>
  </si>
  <si>
    <t>Subtype_2#Special_distinctions_1</t>
  </si>
  <si>
    <t>Subtype_2#Map_of_Europe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</si>
</sst>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[$€-1];[Red]\-#,##0\ [$€-1]"/>
  </numFmts>
  <fonts count="9" x14ac:knownFonts="1">
    <font>
      <sz val="11"/>
      <color rgb="FF000000"/>
      <name val="Calibri"/>
    </font>
    <font>
      <sz val="11"/>
      <color rgb="FF000000"/>
      <name val="Calibri"/>
      <family val="2"/>
      <charset val="204"/>
    </font>
    <font>
      <b/>
      <sz val="9"/>
      <color indexed="81"/>
      <name val="Tahoma"/>
      <family val="2"/>
      <charset val="204"/>
    </font>
    <font>
      <sz val="11"/>
      <name val="Calibri"/>
      <family val="2"/>
      <charset val="204"/>
      <scheme val="minor"/>
    </font>
    <font>
      <sz val="11"/>
      <color rgb="FFC00000"/>
      <name val="Calibri"/>
      <family val="2"/>
      <charset val="204"/>
    </font>
    <font>
      <u/>
      <sz val="11"/>
      <color theme="10"/>
      <name val="Calibri"/>
      <family val="2"/>
      <charset val="204"/>
    </font>
    <font>
      <sz val="11"/>
      <name val="Calibri"/>
      <family val="2"/>
      <charset val="204"/>
    </font>
    <font>
      <sz val="8"/>
      <name val="Calibri"/>
      <family val="2"/>
      <charset val="204"/>
    </font>
    <font>
      <sz val="8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6C3A0"/>
        <bgColor indexed="64"/>
      </patternFill>
    </fill>
    <fill>
      <patternFill patternType="solid">
        <fgColor rgb="FFFAD9C2"/>
        <bgColor indexed="64"/>
      </patternFill>
    </fill>
    <fill>
      <patternFill patternType="solid">
        <fgColor rgb="FFF1955D"/>
        <bgColor rgb="FF000000"/>
      </patternFill>
    </fill>
    <fill>
      <patternFill patternType="solid">
        <fgColor rgb="FFF3B285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5" fillId="0" borderId="0" applyNumberFormat="0" applyFill="0" applyBorder="0" applyAlignment="0" applyProtection="0"/>
  </cellStyleXfs>
  <cellXfs count="40">
    <xf numFmtId="0" fontId="0" fillId="0" borderId="0" xfId="0"/>
    <xf numFmtId="0" fontId="0" fillId="0" borderId="1" xfId="0" applyBorder="1" applyAlignment="1">
      <alignment horizontal="center"/>
    </xf>
    <xf numFmtId="0" fontId="1" fillId="0" borderId="0" xfId="1"/>
    <xf numFmtId="0" fontId="4" fillId="0" borderId="0" xfId="1" applyFont="1" applyAlignment="1">
      <alignment horizontal="center" vertical="center"/>
    </xf>
    <xf numFmtId="0" fontId="0" fillId="0" borderId="0" xfId="0" applyFont="1" applyAlignment="1"/>
    <xf numFmtId="3" fontId="3" fillId="4" borderId="2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shrinkToFit="1"/>
    </xf>
    <xf numFmtId="3" fontId="3" fillId="6" borderId="2" xfId="0" applyNumberFormat="1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3" fontId="3" fillId="6" borderId="2" xfId="0" applyNumberFormat="1" applyFont="1" applyFill="1" applyBorder="1" applyAlignment="1">
      <alignment horizontal="center" vertical="center" shrinkToFit="1"/>
    </xf>
    <xf numFmtId="3" fontId="3" fillId="3" borderId="2" xfId="0" applyNumberFormat="1" applyFont="1" applyFill="1" applyBorder="1" applyAlignment="1">
      <alignment horizontal="center" vertical="center" shrinkToFit="1"/>
    </xf>
    <xf numFmtId="3" fontId="3" fillId="4" borderId="2" xfId="0" applyNumberFormat="1" applyFont="1" applyFill="1" applyBorder="1" applyAlignment="1">
      <alignment horizontal="center" vertical="center" shrinkToFit="1"/>
    </xf>
    <xf numFmtId="0" fontId="0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/>
    <xf numFmtId="0" fontId="0" fillId="0" borderId="0" xfId="0" applyAlignment="1">
      <alignment horizontal="center" vertical="center"/>
    </xf>
    <xf numFmtId="0" fontId="5" fillId="0" borderId="0" xfId="2" applyAlignment="1">
      <alignment horizontal="center" vertical="center"/>
    </xf>
    <xf numFmtId="0" fontId="1" fillId="0" borderId="0" xfId="0" applyFont="1" applyAlignment="1">
      <alignment wrapText="1"/>
    </xf>
    <xf numFmtId="3" fontId="3" fillId="4" borderId="7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0" xfId="0" applyAlignment="1">
      <alignment wrapText="1"/>
    </xf>
    <xf numFmtId="3" fontId="3" fillId="3" borderId="7" xfId="0" applyNumberFormat="1" applyFont="1" applyFill="1" applyBorder="1" applyAlignment="1">
      <alignment horizontal="center" vertical="center" shrinkToFit="1"/>
    </xf>
    <xf numFmtId="164" fontId="0" fillId="0" borderId="0" xfId="0" applyNumberFormat="1"/>
    <xf numFmtId="0" fontId="6" fillId="5" borderId="4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6" fillId="5" borderId="3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6" fillId="5" borderId="7" xfId="0" applyFont="1" applyFill="1" applyBorder="1" applyAlignment="1">
      <alignment horizontal="center" vertical="center" shrinkToFit="1"/>
    </xf>
    <xf numFmtId="0" fontId="0" fillId="0" borderId="7" xfId="0" applyBorder="1" applyAlignment="1">
      <alignment horizontal="center" vertical="center" shrinkToFit="1"/>
    </xf>
    <xf numFmtId="0" fontId="6" fillId="5" borderId="10" xfId="0" applyFont="1" applyFill="1" applyBorder="1" applyAlignment="1">
      <alignment horizontal="center" vertical="center"/>
    </xf>
    <xf numFmtId="0" fontId="6" fillId="5" borderId="11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/>
    </xf>
    <xf numFmtId="0" fontId="6" fillId="5" borderId="8" xfId="0" applyFont="1" applyFill="1" applyBorder="1" applyAlignment="1">
      <alignment horizontal="center" vertical="center" shrinkToFit="1"/>
    </xf>
    <xf numFmtId="0" fontId="6" fillId="5" borderId="9" xfId="0" applyFont="1" applyFill="1" applyBorder="1" applyAlignment="1">
      <alignment horizontal="center" vertical="center" shrinkToFit="1"/>
    </xf>
    <xf numFmtId="49" fontId="6" fillId="5" borderId="7" xfId="0" applyNumberFormat="1" applyFont="1" applyFill="1" applyBorder="1" applyAlignment="1">
      <alignment horizontal="center" vertical="center" shrinkToFit="1"/>
    </xf>
    <xf numFmtId="49" fontId="0" fillId="0" borderId="7" xfId="0" applyNumberFormat="1" applyBorder="1" applyAlignment="1">
      <alignment horizontal="center" vertical="center" shrinkToFit="1"/>
    </xf>
  </cellXfs>
  <cellStyles count="3">
    <cellStyle name="Гиперссылка" xfId="2" builtinId="8"/>
    <cellStyle name="Обычный" xfId="0" builtinId="0"/>
    <cellStyle name="Обычный 2" xfId="1" xr:uid="{00000000-0005-0000-0000-000002000000}"/>
  </cellStyles>
  <dxfs count="68"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alignment horizontal="general" vertical="bottom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</dxfs>
  <tableStyles count="0" defaultTableStyle="TableStyleMedium2" defaultPivotStyle="PivotStyleLight16"/>
  <colors>
    <mruColors>
      <color rgb="FFF3B285"/>
      <color rgb="FFF1955D"/>
      <color rgb="FFF9D3B9"/>
      <color rgb="FFFAD9C2"/>
      <color rgb="FFF6C3A0"/>
      <color rgb="FFF5B88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Таблица4" displayName="Таблица4" ref="A1:C7" totalsRowShown="0">
  <autoFilter ref="A1:C7" xr:uid="{00000000-0009-0000-0100-000002000000}">
    <filterColumn colId="0" hiddenButton="1"/>
    <filterColumn colId="1" hiddenButton="1"/>
    <filterColumn colId="2" hiddenButton="1"/>
  </autoFilter>
  <tableColumns count="3">
    <tableColumn id="1" xr3:uid="{00000000-0010-0000-0000-000001000000}" name="№" dataDxfId="35"/>
    <tableColumn id="2" xr3:uid="{00000000-0010-0000-0000-000002000000}" name="Link" dataDxfId="34" dataCellStyle="Гиперссылка"/>
    <tableColumn id="3" xr3:uid="{00000000-0010-0000-0000-000003000000}" name="Description (single table, table set, mintage, prices):" dataDxfId="33"/>
  </tableColumns>
  <tableStyleInfo name="TableStyleMedium9" showFirstColumn="1" showLastColumn="0" showRowStripes="0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hyperlink" Target="https://www.euro-coins.info/images/files/Tablitsa_raznovidnostey_monet_evro_UNC.pdf" TargetMode="External"/><Relationship Id="rId7" Type="http://schemas.openxmlformats.org/officeDocument/2006/relationships/printerSettings" Target="../printerSettings/printerSettings9.bin"/><Relationship Id="rId2" Type="http://schemas.openxmlformats.org/officeDocument/2006/relationships/hyperlink" Target="https://www.euro-coins.info/info/mintage/cyprus.html" TargetMode="External"/><Relationship Id="rId1" Type="http://schemas.openxmlformats.org/officeDocument/2006/relationships/hyperlink" Target="hhttps://en.ucoin.net/catalog/?country=cyprus" TargetMode="External"/><Relationship Id="rId6" Type="http://schemas.openxmlformats.org/officeDocument/2006/relationships/hyperlink" Target="http://www.eurocollection.co.uk/Variants.html" TargetMode="External"/><Relationship Id="rId5" Type="http://schemas.openxmlformats.org/officeDocument/2006/relationships/hyperlink" Target="http://www.eurocollection.co.uk/" TargetMode="External"/><Relationship Id="rId4" Type="http://schemas.openxmlformats.org/officeDocument/2006/relationships/hyperlink" Target="https://img-fotki.yandex.ru/get/6522/3621775.137/0_8f474_244963fb_ori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workbookViewId="0">
      <pane xSplit="9" ySplit="2" topLeftCell="J3" activePane="bottomRight" state="frozen"/>
      <selection pane="topRight" activeCell="H1" sqref="H1"/>
      <selection pane="bottomLeft" activeCell="A3" sqref="A3"/>
      <selection pane="bottomRight" activeCell="A19" sqref="A19:I20"/>
    </sheetView>
  </sheetViews>
  <sheetFormatPr defaultRowHeight="15" customHeight="1" x14ac:dyDescent="0.35"/>
  <cols>
    <col min="1" max="1" width="5.6328125" style="4" customWidth="1"/>
    <col min="2" max="2" width="50.6328125" style="4" customWidth="1"/>
    <col min="3" max="4" width="33.6328125" style="4" customWidth="1"/>
    <col min="5" max="6" width="12.6328125" style="4" customWidth="1"/>
    <col min="7" max="8" width="3.6328125" style="4" customWidth="1"/>
    <col min="9" max="9" width="12.6328125" style="4" customWidth="1"/>
  </cols>
  <sheetData>
    <row r="1" spans="1:9" ht="15" customHeight="1" x14ac:dyDescent="0.35">
      <c r="A1" s="24" t="s">
        <v>1</v>
      </c>
      <c r="B1" s="23"/>
      <c r="C1" s="26" t="s">
        <v>2</v>
      </c>
      <c r="D1" s="27"/>
      <c r="E1" s="28" t="s">
        <v>3</v>
      </c>
      <c r="F1" s="29"/>
      <c r="G1" s="30" t="s">
        <v>4</v>
      </c>
      <c r="H1" s="31"/>
      <c r="I1" s="2"/>
    </row>
    <row r="2" spans="1:9" ht="15" customHeight="1" x14ac:dyDescent="0.35">
      <c r="A2" s="25"/>
      <c r="B2" s="23" t="s">
        <v>85</v>
      </c>
      <c r="C2" s="5" t="s">
        <v>86</v>
      </c>
      <c r="D2" s="5" t="s">
        <v>87</v>
      </c>
      <c r="E2" s="7" t="s">
        <v>26</v>
      </c>
      <c r="F2" s="7" t="s">
        <v>58</v>
      </c>
      <c r="G2" s="18" t="s">
        <v>26</v>
      </c>
      <c r="H2" s="18" t="s">
        <v>58</v>
      </c>
      <c r="I2" s="2"/>
    </row>
    <row r="3" spans="1:9" ht="15" customHeight="1" x14ac:dyDescent="0.35">
      <c r="A3" s="8">
        <v>2008</v>
      </c>
      <c r="B3" s="9" t="s">
        <v>55</v>
      </c>
      <c r="C3" s="21" t="s">
        <v>53</v>
      </c>
      <c r="D3" s="10"/>
      <c r="E3" s="6" t="s">
        <v>0</v>
      </c>
      <c r="F3" s="11" t="s">
        <v>27</v>
      </c>
      <c r="G3" s="19" t="s">
        <v>0</v>
      </c>
      <c r="H3" s="19">
        <v>0</v>
      </c>
      <c r="I3" s="3" t="str">
        <f>IF(OR(AND(G3&gt;1,G3&lt;&gt;"-"),AND(H3&gt;1,H3&lt;&gt;"-")),"Can exchange","")</f>
        <v/>
      </c>
    </row>
    <row r="4" spans="1:9" ht="15" customHeight="1" x14ac:dyDescent="0.35">
      <c r="A4" s="8">
        <v>2009</v>
      </c>
      <c r="B4" s="9" t="s">
        <v>55</v>
      </c>
      <c r="C4" s="21" t="s">
        <v>53</v>
      </c>
      <c r="D4" s="10"/>
      <c r="E4" s="6" t="s">
        <v>0</v>
      </c>
      <c r="F4" s="11" t="s">
        <v>28</v>
      </c>
      <c r="G4" s="19" t="s">
        <v>0</v>
      </c>
      <c r="H4" s="19">
        <v>0</v>
      </c>
      <c r="I4" s="3" t="str">
        <f t="shared" ref="I4:I5" si="0">IF(OR(AND(G4&gt;1,G4&lt;&gt;"-"),AND(H4&gt;1,H4&lt;&gt;"-")),"Can exchange","")</f>
        <v/>
      </c>
    </row>
    <row r="5" spans="1:9" ht="15" customHeight="1" x14ac:dyDescent="0.35">
      <c r="A5" s="8">
        <v>2010</v>
      </c>
      <c r="B5" s="9" t="s">
        <v>55</v>
      </c>
      <c r="C5" s="21" t="s">
        <v>53</v>
      </c>
      <c r="D5" s="10"/>
      <c r="E5" s="11" t="s">
        <v>29</v>
      </c>
      <c r="F5" s="6" t="s">
        <v>0</v>
      </c>
      <c r="G5" s="19">
        <v>0</v>
      </c>
      <c r="H5" s="19" t="s">
        <v>0</v>
      </c>
      <c r="I5" s="3" t="str">
        <f t="shared" si="0"/>
        <v/>
      </c>
    </row>
    <row r="6" spans="1:9" ht="15" customHeight="1" x14ac:dyDescent="0.35">
      <c r="A6" s="8">
        <v>2011</v>
      </c>
      <c r="B6" s="9" t="s">
        <v>55</v>
      </c>
      <c r="C6" s="21" t="s">
        <v>53</v>
      </c>
      <c r="D6" s="10"/>
      <c r="E6" s="11" t="s">
        <v>30</v>
      </c>
      <c r="F6" s="6" t="s">
        <v>0</v>
      </c>
      <c r="G6" s="19">
        <v>0</v>
      </c>
      <c r="H6" s="19" t="s">
        <v>0</v>
      </c>
      <c r="I6" s="3" t="str">
        <f t="shared" ref="I6:I14" si="1">IF(OR(AND(G6&gt;1,G6&lt;&gt;"-"),AND(H6&gt;1,H6&lt;&gt;"-")),"Can exchange","")</f>
        <v/>
      </c>
    </row>
    <row r="7" spans="1:9" ht="15" customHeight="1" x14ac:dyDescent="0.35">
      <c r="A7" s="8">
        <v>2012</v>
      </c>
      <c r="B7" s="9" t="s">
        <v>55</v>
      </c>
      <c r="C7" s="21" t="s">
        <v>53</v>
      </c>
      <c r="D7" s="10"/>
      <c r="E7" s="11" t="s">
        <v>31</v>
      </c>
      <c r="F7" s="6" t="s">
        <v>0</v>
      </c>
      <c r="G7" s="19">
        <v>0</v>
      </c>
      <c r="H7" s="19" t="s">
        <v>0</v>
      </c>
      <c r="I7" s="3" t="str">
        <f t="shared" si="1"/>
        <v/>
      </c>
    </row>
    <row r="8" spans="1:9" ht="15" customHeight="1" x14ac:dyDescent="0.35">
      <c r="A8" s="8">
        <v>2013</v>
      </c>
      <c r="B8" s="9" t="s">
        <v>55</v>
      </c>
      <c r="C8" s="21" t="s">
        <v>53</v>
      </c>
      <c r="D8" s="10"/>
      <c r="E8" s="11" t="s">
        <v>32</v>
      </c>
      <c r="F8" s="6" t="s">
        <v>0</v>
      </c>
      <c r="G8" s="19">
        <v>0</v>
      </c>
      <c r="H8" s="19" t="s">
        <v>0</v>
      </c>
      <c r="I8" s="3" t="str">
        <f t="shared" si="1"/>
        <v/>
      </c>
    </row>
    <row r="9" spans="1:9" ht="15" customHeight="1" x14ac:dyDescent="0.35">
      <c r="A9" s="8">
        <v>2014</v>
      </c>
      <c r="B9" s="9" t="s">
        <v>55</v>
      </c>
      <c r="C9" s="21" t="s">
        <v>53</v>
      </c>
      <c r="D9" s="10"/>
      <c r="E9" s="11" t="s">
        <v>32</v>
      </c>
      <c r="F9" s="6" t="s">
        <v>0</v>
      </c>
      <c r="G9" s="19">
        <v>0</v>
      </c>
      <c r="H9" s="19" t="s">
        <v>0</v>
      </c>
      <c r="I9" s="3" t="str">
        <f t="shared" si="1"/>
        <v/>
      </c>
    </row>
    <row r="10" spans="1:9" ht="15" customHeight="1" x14ac:dyDescent="0.35">
      <c r="A10" s="8">
        <v>2015</v>
      </c>
      <c r="B10" s="9" t="s">
        <v>55</v>
      </c>
      <c r="C10" s="21" t="s">
        <v>53</v>
      </c>
      <c r="D10" s="10"/>
      <c r="E10" s="11" t="s">
        <v>33</v>
      </c>
      <c r="F10" s="6" t="s">
        <v>0</v>
      </c>
      <c r="G10" s="19">
        <v>0</v>
      </c>
      <c r="H10" s="19" t="s">
        <v>0</v>
      </c>
      <c r="I10" s="3" t="str">
        <f t="shared" si="1"/>
        <v/>
      </c>
    </row>
    <row r="11" spans="1:9" ht="15" customHeight="1" x14ac:dyDescent="0.35">
      <c r="A11" s="8">
        <v>2016</v>
      </c>
      <c r="B11" s="9" t="s">
        <v>55</v>
      </c>
      <c r="C11" s="21" t="s">
        <v>53</v>
      </c>
      <c r="D11" s="10"/>
      <c r="E11" s="11" t="s">
        <v>34</v>
      </c>
      <c r="F11" s="6" t="s">
        <v>0</v>
      </c>
      <c r="G11" s="19">
        <v>0</v>
      </c>
      <c r="H11" s="19" t="s">
        <v>0</v>
      </c>
      <c r="I11" s="3" t="str">
        <f t="shared" si="1"/>
        <v/>
      </c>
    </row>
    <row r="12" spans="1:9" ht="15" customHeight="1" x14ac:dyDescent="0.35">
      <c r="A12" s="8">
        <v>2017</v>
      </c>
      <c r="B12" s="9" t="s">
        <v>55</v>
      </c>
      <c r="C12" s="21" t="s">
        <v>53</v>
      </c>
      <c r="D12" s="10"/>
      <c r="E12" s="11" t="s">
        <v>32</v>
      </c>
      <c r="F12" s="6" t="s">
        <v>0</v>
      </c>
      <c r="G12" s="19">
        <v>0</v>
      </c>
      <c r="H12" s="19" t="s">
        <v>0</v>
      </c>
      <c r="I12" s="3" t="str">
        <f t="shared" si="1"/>
        <v/>
      </c>
    </row>
    <row r="13" spans="1:9" ht="15" customHeight="1" x14ac:dyDescent="0.35">
      <c r="A13" s="8">
        <v>2018</v>
      </c>
      <c r="B13" s="9" t="s">
        <v>55</v>
      </c>
      <c r="C13" s="21" t="s">
        <v>53</v>
      </c>
      <c r="D13" s="10"/>
      <c r="E13" s="11" t="s">
        <v>32</v>
      </c>
      <c r="F13" s="6" t="s">
        <v>0</v>
      </c>
      <c r="G13" s="19">
        <v>0</v>
      </c>
      <c r="H13" s="19" t="s">
        <v>0</v>
      </c>
      <c r="I13" s="3" t="str">
        <f t="shared" si="1"/>
        <v/>
      </c>
    </row>
    <row r="14" spans="1:9" ht="15" customHeight="1" x14ac:dyDescent="0.35">
      <c r="A14" s="8">
        <v>2019</v>
      </c>
      <c r="B14" s="9" t="s">
        <v>55</v>
      </c>
      <c r="C14" s="21" t="s">
        <v>53</v>
      </c>
      <c r="D14" s="10"/>
      <c r="E14" s="11" t="s">
        <v>35</v>
      </c>
      <c r="F14" s="6" t="s">
        <v>0</v>
      </c>
      <c r="G14" s="19">
        <v>0</v>
      </c>
      <c r="H14" s="19" t="s">
        <v>0</v>
      </c>
      <c r="I14" s="3" t="str">
        <f t="shared" si="1"/>
        <v/>
      </c>
    </row>
    <row r="15" spans="1:9" ht="15" customHeight="1" x14ac:dyDescent="0.35">
      <c r="A15" s="8">
        <v>2020</v>
      </c>
      <c r="B15" s="9" t="s">
        <v>55</v>
      </c>
      <c r="C15" s="21" t="s">
        <v>53</v>
      </c>
      <c r="D15" s="10"/>
      <c r="E15" s="11" t="s">
        <v>59</v>
      </c>
      <c r="F15" s="6" t="s">
        <v>0</v>
      </c>
      <c r="G15" s="19">
        <v>0</v>
      </c>
      <c r="H15" s="19" t="s">
        <v>0</v>
      </c>
      <c r="I15" s="3" t="str">
        <f t="shared" ref="I15:I16" si="2">IF(OR(AND(G15&gt;1,G15&lt;&gt;"-"),AND(H15&gt;1,H15&lt;&gt;"-")),"Can exchange","")</f>
        <v/>
      </c>
    </row>
    <row r="16" spans="1:9" ht="15" customHeight="1" x14ac:dyDescent="0.35">
      <c r="A16" s="8">
        <v>2021</v>
      </c>
      <c r="B16" s="9" t="s">
        <v>55</v>
      </c>
      <c r="C16" s="21" t="s">
        <v>53</v>
      </c>
      <c r="D16" s="10"/>
      <c r="E16" s="11" t="s">
        <v>67</v>
      </c>
      <c r="F16" s="6" t="s">
        <v>0</v>
      </c>
      <c r="G16" s="19">
        <v>0</v>
      </c>
      <c r="H16" s="19" t="s">
        <v>0</v>
      </c>
      <c r="I16" s="3" t="str">
        <f t="shared" si="2"/>
        <v/>
      </c>
    </row>
    <row r="17" spans="1:9" ht="15" customHeight="1" x14ac:dyDescent="0.35">
      <c r="A17" s="8">
        <v>2022</v>
      </c>
      <c r="B17" s="9" t="s">
        <v>55</v>
      </c>
      <c r="C17" s="21" t="s">
        <v>53</v>
      </c>
      <c r="D17" s="10"/>
      <c r="E17" s="11" t="s">
        <v>75</v>
      </c>
      <c r="F17" s="6" t="s">
        <v>0</v>
      </c>
      <c r="G17" s="19">
        <v>0</v>
      </c>
      <c r="H17" s="19" t="s">
        <v>0</v>
      </c>
      <c r="I17" s="3" t="str">
        <f t="shared" ref="I17:I18" si="3">IF(OR(AND(G17&gt;1,G17&lt;&gt;"-"),AND(H17&gt;1,H17&lt;&gt;"-")),"Can exchange","")</f>
        <v/>
      </c>
    </row>
    <row r="18" spans="1:9" ht="15" customHeight="1" x14ac:dyDescent="0.35">
      <c r="A18" s="8">
        <v>2023</v>
      </c>
      <c r="B18" s="9" t="s">
        <v>55</v>
      </c>
      <c r="C18" s="21" t="s">
        <v>53</v>
      </c>
      <c r="D18" s="10"/>
      <c r="E18" s="11" t="s">
        <v>81</v>
      </c>
      <c r="F18" s="6" t="s">
        <v>0</v>
      </c>
      <c r="G18" s="19">
        <v>0</v>
      </c>
      <c r="H18" s="19" t="s">
        <v>0</v>
      </c>
      <c r="I18" s="3" t="str">
        <f t="shared" si="3"/>
        <v/>
      </c>
    </row>
    <row r="19" spans="1:9" ht="15" customHeight="1" x14ac:dyDescent="0.35">
      <c r="A19" s="8">
        <v>2024</v>
      </c>
      <c r="B19" s="9" t="s">
        <v>55</v>
      </c>
      <c r="C19" s="21" t="s">
        <v>53</v>
      </c>
      <c r="D19" s="10"/>
      <c r="E19" s="11" t="s">
        <v>65</v>
      </c>
      <c r="F19" s="6" t="s">
        <v>0</v>
      </c>
      <c r="G19" s="19">
        <v>0</v>
      </c>
      <c r="H19" s="19" t="s">
        <v>0</v>
      </c>
      <c r="I19" s="3" t="str">
        <f t="shared" ref="I19:I20" si="4">IF(OR(AND(G19&gt;1,G19&lt;&gt;"-"),AND(H19&gt;1,H19&lt;&gt;"-")),"Can exchange","")</f>
        <v/>
      </c>
    </row>
    <row r="20" spans="1:9" ht="15" customHeight="1" x14ac:dyDescent="0.35">
      <c r="A20" s="8">
        <v>2025</v>
      </c>
      <c r="B20" s="6" t="s">
        <v>0</v>
      </c>
      <c r="C20" s="6" t="s">
        <v>0</v>
      </c>
      <c r="D20" s="6" t="s">
        <v>0</v>
      </c>
      <c r="E20" s="6" t="s">
        <v>0</v>
      </c>
      <c r="F20" s="6" t="s">
        <v>0</v>
      </c>
      <c r="G20" s="1" t="s">
        <v>0</v>
      </c>
      <c r="H20" s="1" t="s">
        <v>0</v>
      </c>
      <c r="I20" s="3" t="str">
        <f t="shared" si="4"/>
        <v/>
      </c>
    </row>
  </sheetData>
  <autoFilter ref="B2:F2" xr:uid="{00000000-0001-0000-0000-000000000000}"/>
  <mergeCells count="4">
    <mergeCell ref="A1:A2"/>
    <mergeCell ref="C1:D1"/>
    <mergeCell ref="E1:F1"/>
    <mergeCell ref="G1:H1"/>
  </mergeCells>
  <phoneticPr fontId="7" type="noConversion"/>
  <conditionalFormatting sqref="G3:G18">
    <cfRule type="containsText" dxfId="67" priority="35" operator="containsText" text="*-">
      <formula>NOT(ISERROR(SEARCH(("*-"),(G3))))</formula>
    </cfRule>
  </conditionalFormatting>
  <conditionalFormatting sqref="G3:G18">
    <cfRule type="colorScale" priority="3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3:H18">
    <cfRule type="containsText" dxfId="66" priority="15" operator="containsText" text="*-">
      <formula>NOT(ISERROR(SEARCH(("*-"),(H3))))</formula>
    </cfRule>
  </conditionalFormatting>
  <conditionalFormatting sqref="H3:H18">
    <cfRule type="colorScale" priority="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9">
    <cfRule type="containsText" dxfId="32" priority="7" operator="containsText" text="*-">
      <formula>NOT(ISERROR(SEARCH(("*-"),(G19))))</formula>
    </cfRule>
  </conditionalFormatting>
  <conditionalFormatting sqref="G19"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9">
    <cfRule type="containsText" dxfId="31" priority="5" operator="containsText" text="*-">
      <formula>NOT(ISERROR(SEARCH(("*-"),(H19))))</formula>
    </cfRule>
  </conditionalFormatting>
  <conditionalFormatting sqref="H19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20">
    <cfRule type="containsText" dxfId="29" priority="3" operator="containsText" text="*-">
      <formula>NOT(ISERROR(SEARCH(("*-"),(G20))))</formula>
    </cfRule>
  </conditionalFormatting>
  <conditionalFormatting sqref="G20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0">
    <cfRule type="containsText" dxfId="28" priority="1" operator="containsText" text="*-">
      <formula>NOT(ISERROR(SEARCH(("*-"),(H20))))</formula>
    </cfRule>
  </conditionalFormatting>
  <conditionalFormatting sqref="H20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0"/>
  <sheetViews>
    <sheetView workbookViewId="0">
      <pane xSplit="9" ySplit="2" topLeftCell="J3" activePane="bottomRight" state="frozen"/>
      <selection pane="topRight" activeCell="H1" sqref="H1"/>
      <selection pane="bottomLeft" activeCell="A3" sqref="A3"/>
      <selection pane="bottomRight" activeCell="A19" sqref="A19:I20"/>
    </sheetView>
  </sheetViews>
  <sheetFormatPr defaultRowHeight="15" customHeight="1" x14ac:dyDescent="0.35"/>
  <cols>
    <col min="1" max="1" width="5.6328125" style="4" customWidth="1"/>
    <col min="2" max="2" width="50.6328125" style="4" customWidth="1"/>
    <col min="3" max="4" width="33.6328125" style="4" customWidth="1"/>
    <col min="5" max="6" width="12.6328125" style="4" customWidth="1"/>
    <col min="7" max="8" width="3.6328125" style="4" customWidth="1"/>
    <col min="9" max="9" width="12.6328125" style="4" customWidth="1"/>
  </cols>
  <sheetData>
    <row r="1" spans="1:9" ht="15" customHeight="1" x14ac:dyDescent="0.35">
      <c r="A1" s="24" t="s">
        <v>1</v>
      </c>
      <c r="B1" s="23"/>
      <c r="C1" s="26" t="s">
        <v>2</v>
      </c>
      <c r="D1" s="27"/>
      <c r="E1" s="28" t="s">
        <v>3</v>
      </c>
      <c r="F1" s="29"/>
      <c r="G1" s="30" t="s">
        <v>5</v>
      </c>
      <c r="H1" s="31"/>
      <c r="I1" s="2"/>
    </row>
    <row r="2" spans="1:9" ht="15" customHeight="1" x14ac:dyDescent="0.35">
      <c r="A2" s="25"/>
      <c r="B2" s="23" t="s">
        <v>85</v>
      </c>
      <c r="C2" s="5" t="s">
        <v>86</v>
      </c>
      <c r="D2" s="5" t="s">
        <v>87</v>
      </c>
      <c r="E2" s="7" t="s">
        <v>26</v>
      </c>
      <c r="F2" s="7" t="s">
        <v>58</v>
      </c>
      <c r="G2" s="18" t="s">
        <v>26</v>
      </c>
      <c r="H2" s="18" t="s">
        <v>58</v>
      </c>
      <c r="I2" s="2"/>
    </row>
    <row r="3" spans="1:9" ht="15" customHeight="1" x14ac:dyDescent="0.35">
      <c r="A3" s="8">
        <v>2008</v>
      </c>
      <c r="B3" s="9" t="s">
        <v>55</v>
      </c>
      <c r="C3" s="21" t="s">
        <v>53</v>
      </c>
      <c r="D3" s="10"/>
      <c r="E3" s="6" t="s">
        <v>0</v>
      </c>
      <c r="F3" s="11" t="s">
        <v>37</v>
      </c>
      <c r="G3" s="19" t="s">
        <v>0</v>
      </c>
      <c r="H3" s="1">
        <v>1</v>
      </c>
      <c r="I3" s="3" t="str">
        <f>IF(OR(AND(G3&gt;1,G3&lt;&gt;"-"),AND(H3&gt;1,H3&lt;&gt;"-")),"Can exchange","")</f>
        <v/>
      </c>
    </row>
    <row r="4" spans="1:9" ht="15" customHeight="1" x14ac:dyDescent="0.35">
      <c r="A4" s="8">
        <v>2009</v>
      </c>
      <c r="B4" s="9" t="s">
        <v>55</v>
      </c>
      <c r="C4" s="21" t="s">
        <v>53</v>
      </c>
      <c r="D4" s="10"/>
      <c r="E4" s="6" t="s">
        <v>0</v>
      </c>
      <c r="F4" s="11" t="s">
        <v>38</v>
      </c>
      <c r="G4" s="19" t="s">
        <v>0</v>
      </c>
      <c r="H4" s="1">
        <v>0</v>
      </c>
      <c r="I4" s="3" t="str">
        <f t="shared" ref="I4:I15" si="0">IF(OR(AND(G4&gt;1,G4&lt;&gt;"-"),AND(H4&gt;1,H4&lt;&gt;"-")),"Can exchange","")</f>
        <v/>
      </c>
    </row>
    <row r="5" spans="1:9" ht="15" customHeight="1" x14ac:dyDescent="0.35">
      <c r="A5" s="8">
        <v>2010</v>
      </c>
      <c r="B5" s="9" t="s">
        <v>55</v>
      </c>
      <c r="C5" s="21" t="s">
        <v>53</v>
      </c>
      <c r="D5" s="10"/>
      <c r="E5" s="11" t="s">
        <v>29</v>
      </c>
      <c r="F5" s="6" t="s">
        <v>0</v>
      </c>
      <c r="G5" s="19">
        <v>0</v>
      </c>
      <c r="H5" s="19" t="s">
        <v>0</v>
      </c>
      <c r="I5" s="3" t="str">
        <f t="shared" si="0"/>
        <v/>
      </c>
    </row>
    <row r="6" spans="1:9" ht="15" customHeight="1" x14ac:dyDescent="0.35">
      <c r="A6" s="8">
        <v>2011</v>
      </c>
      <c r="B6" s="9" t="s">
        <v>55</v>
      </c>
      <c r="C6" s="21" t="s">
        <v>53</v>
      </c>
      <c r="D6" s="10"/>
      <c r="E6" s="11" t="s">
        <v>31</v>
      </c>
      <c r="F6" s="6" t="s">
        <v>0</v>
      </c>
      <c r="G6" s="19">
        <v>0</v>
      </c>
      <c r="H6" s="19" t="s">
        <v>0</v>
      </c>
      <c r="I6" s="3" t="str">
        <f t="shared" si="0"/>
        <v/>
      </c>
    </row>
    <row r="7" spans="1:9" ht="15" customHeight="1" x14ac:dyDescent="0.35">
      <c r="A7" s="8">
        <v>2012</v>
      </c>
      <c r="B7" s="9" t="s">
        <v>55</v>
      </c>
      <c r="C7" s="21" t="s">
        <v>53</v>
      </c>
      <c r="D7" s="10"/>
      <c r="E7" s="11" t="s">
        <v>31</v>
      </c>
      <c r="F7" s="6" t="s">
        <v>0</v>
      </c>
      <c r="G7" s="19">
        <v>0</v>
      </c>
      <c r="H7" s="19" t="s">
        <v>0</v>
      </c>
      <c r="I7" s="3" t="str">
        <f t="shared" si="0"/>
        <v/>
      </c>
    </row>
    <row r="8" spans="1:9" ht="15" customHeight="1" x14ac:dyDescent="0.35">
      <c r="A8" s="8">
        <v>2013</v>
      </c>
      <c r="B8" s="9" t="s">
        <v>55</v>
      </c>
      <c r="C8" s="21" t="s">
        <v>53</v>
      </c>
      <c r="D8" s="10"/>
      <c r="E8" s="11" t="s">
        <v>32</v>
      </c>
      <c r="F8" s="6" t="s">
        <v>0</v>
      </c>
      <c r="G8" s="19">
        <v>0</v>
      </c>
      <c r="H8" s="19" t="s">
        <v>0</v>
      </c>
      <c r="I8" s="3" t="str">
        <f t="shared" si="0"/>
        <v/>
      </c>
    </row>
    <row r="9" spans="1:9" ht="15" customHeight="1" x14ac:dyDescent="0.35">
      <c r="A9" s="8">
        <v>2014</v>
      </c>
      <c r="B9" s="9" t="s">
        <v>55</v>
      </c>
      <c r="C9" s="21" t="s">
        <v>53</v>
      </c>
      <c r="D9" s="10"/>
      <c r="E9" s="11" t="s">
        <v>32</v>
      </c>
      <c r="F9" s="6" t="s">
        <v>0</v>
      </c>
      <c r="G9" s="19">
        <v>0</v>
      </c>
      <c r="H9" s="19" t="s">
        <v>0</v>
      </c>
      <c r="I9" s="3" t="str">
        <f t="shared" si="0"/>
        <v/>
      </c>
    </row>
    <row r="10" spans="1:9" ht="15" customHeight="1" x14ac:dyDescent="0.35">
      <c r="A10" s="8">
        <v>2015</v>
      </c>
      <c r="B10" s="9" t="s">
        <v>55</v>
      </c>
      <c r="C10" s="21" t="s">
        <v>53</v>
      </c>
      <c r="D10" s="10"/>
      <c r="E10" s="11" t="s">
        <v>32</v>
      </c>
      <c r="F10" s="6" t="s">
        <v>0</v>
      </c>
      <c r="G10" s="19">
        <v>0</v>
      </c>
      <c r="H10" s="19" t="s">
        <v>0</v>
      </c>
      <c r="I10" s="3" t="str">
        <f t="shared" si="0"/>
        <v/>
      </c>
    </row>
    <row r="11" spans="1:9" ht="15" customHeight="1" x14ac:dyDescent="0.35">
      <c r="A11" s="8">
        <v>2016</v>
      </c>
      <c r="B11" s="9" t="s">
        <v>55</v>
      </c>
      <c r="C11" s="21" t="s">
        <v>53</v>
      </c>
      <c r="D11" s="10"/>
      <c r="E11" s="11" t="s">
        <v>32</v>
      </c>
      <c r="F11" s="6" t="s">
        <v>0</v>
      </c>
      <c r="G11" s="19">
        <v>0</v>
      </c>
      <c r="H11" s="19" t="s">
        <v>0</v>
      </c>
      <c r="I11" s="3" t="str">
        <f t="shared" si="0"/>
        <v/>
      </c>
    </row>
    <row r="12" spans="1:9" ht="15" customHeight="1" x14ac:dyDescent="0.35">
      <c r="A12" s="8">
        <v>2017</v>
      </c>
      <c r="B12" s="9" t="s">
        <v>55</v>
      </c>
      <c r="C12" s="21" t="s">
        <v>53</v>
      </c>
      <c r="D12" s="10"/>
      <c r="E12" s="11" t="s">
        <v>32</v>
      </c>
      <c r="F12" s="6" t="s">
        <v>0</v>
      </c>
      <c r="G12" s="19">
        <v>0</v>
      </c>
      <c r="H12" s="19" t="s">
        <v>0</v>
      </c>
      <c r="I12" s="3" t="str">
        <f t="shared" si="0"/>
        <v/>
      </c>
    </row>
    <row r="13" spans="1:9" ht="15" customHeight="1" x14ac:dyDescent="0.35">
      <c r="A13" s="8">
        <v>2018</v>
      </c>
      <c r="B13" s="9" t="s">
        <v>55</v>
      </c>
      <c r="C13" s="21" t="s">
        <v>53</v>
      </c>
      <c r="D13" s="10"/>
      <c r="E13" s="11" t="s">
        <v>32</v>
      </c>
      <c r="F13" s="6" t="s">
        <v>0</v>
      </c>
      <c r="G13" s="19">
        <v>0</v>
      </c>
      <c r="H13" s="19" t="s">
        <v>0</v>
      </c>
      <c r="I13" s="3" t="str">
        <f t="shared" si="0"/>
        <v/>
      </c>
    </row>
    <row r="14" spans="1:9" ht="15" customHeight="1" x14ac:dyDescent="0.35">
      <c r="A14" s="8">
        <v>2019</v>
      </c>
      <c r="B14" s="9" t="s">
        <v>55</v>
      </c>
      <c r="C14" s="21" t="s">
        <v>53</v>
      </c>
      <c r="D14" s="10"/>
      <c r="E14" s="11" t="s">
        <v>36</v>
      </c>
      <c r="F14" s="6" t="s">
        <v>0</v>
      </c>
      <c r="G14" s="19">
        <v>0</v>
      </c>
      <c r="H14" s="19" t="s">
        <v>0</v>
      </c>
      <c r="I14" s="3" t="str">
        <f t="shared" si="0"/>
        <v/>
      </c>
    </row>
    <row r="15" spans="1:9" ht="15" customHeight="1" x14ac:dyDescent="0.35">
      <c r="A15" s="8">
        <v>2020</v>
      </c>
      <c r="B15" s="9" t="s">
        <v>55</v>
      </c>
      <c r="C15" s="21" t="s">
        <v>53</v>
      </c>
      <c r="D15" s="10"/>
      <c r="E15" s="11" t="s">
        <v>60</v>
      </c>
      <c r="F15" s="6" t="s">
        <v>0</v>
      </c>
      <c r="G15" s="19">
        <v>0</v>
      </c>
      <c r="H15" s="19" t="s">
        <v>0</v>
      </c>
      <c r="I15" s="3" t="str">
        <f t="shared" si="0"/>
        <v/>
      </c>
    </row>
    <row r="16" spans="1:9" ht="15" customHeight="1" x14ac:dyDescent="0.35">
      <c r="A16" s="8">
        <v>2021</v>
      </c>
      <c r="B16" s="9" t="s">
        <v>55</v>
      </c>
      <c r="C16" s="21" t="s">
        <v>53</v>
      </c>
      <c r="D16" s="10"/>
      <c r="E16" s="11" t="s">
        <v>68</v>
      </c>
      <c r="F16" s="6" t="s">
        <v>0</v>
      </c>
      <c r="G16" s="19">
        <v>0</v>
      </c>
      <c r="H16" s="19" t="s">
        <v>0</v>
      </c>
      <c r="I16" s="3" t="str">
        <f t="shared" ref="I16:I20" si="1">IF(OR(AND(G16&gt;1,G16&lt;&gt;"-"),AND(H16&gt;1,H16&lt;&gt;"-")),"Can exchange","")</f>
        <v/>
      </c>
    </row>
    <row r="17" spans="1:9" ht="15" customHeight="1" x14ac:dyDescent="0.35">
      <c r="A17" s="8">
        <v>2022</v>
      </c>
      <c r="B17" s="9" t="s">
        <v>55</v>
      </c>
      <c r="C17" s="21" t="s">
        <v>53</v>
      </c>
      <c r="D17" s="10"/>
      <c r="E17" s="11" t="s">
        <v>76</v>
      </c>
      <c r="F17" s="6" t="s">
        <v>0</v>
      </c>
      <c r="G17" s="19">
        <v>0</v>
      </c>
      <c r="H17" s="19" t="s">
        <v>0</v>
      </c>
      <c r="I17" s="3" t="str">
        <f t="shared" si="1"/>
        <v/>
      </c>
    </row>
    <row r="18" spans="1:9" ht="15" customHeight="1" x14ac:dyDescent="0.35">
      <c r="A18" s="8">
        <v>2023</v>
      </c>
      <c r="B18" s="9" t="s">
        <v>55</v>
      </c>
      <c r="C18" s="21" t="s">
        <v>53</v>
      </c>
      <c r="D18" s="10"/>
      <c r="E18" s="11" t="s">
        <v>82</v>
      </c>
      <c r="F18" s="6" t="s">
        <v>0</v>
      </c>
      <c r="G18" s="19">
        <v>0</v>
      </c>
      <c r="H18" s="19" t="s">
        <v>0</v>
      </c>
      <c r="I18" s="3" t="str">
        <f t="shared" si="1"/>
        <v/>
      </c>
    </row>
    <row r="19" spans="1:9" ht="15" customHeight="1" x14ac:dyDescent="0.35">
      <c r="A19" s="8">
        <v>2024</v>
      </c>
      <c r="B19" s="9" t="s">
        <v>55</v>
      </c>
      <c r="C19" s="21" t="s">
        <v>53</v>
      </c>
      <c r="D19" s="10"/>
      <c r="E19" s="11" t="s">
        <v>65</v>
      </c>
      <c r="F19" s="6" t="s">
        <v>0</v>
      </c>
      <c r="G19" s="19">
        <v>0</v>
      </c>
      <c r="H19" s="19" t="s">
        <v>0</v>
      </c>
      <c r="I19" s="3" t="str">
        <f t="shared" si="1"/>
        <v/>
      </c>
    </row>
    <row r="20" spans="1:9" ht="15" customHeight="1" x14ac:dyDescent="0.35">
      <c r="A20" s="8">
        <v>2025</v>
      </c>
      <c r="B20" s="6" t="s">
        <v>0</v>
      </c>
      <c r="C20" s="6" t="s">
        <v>0</v>
      </c>
      <c r="D20" s="6" t="s">
        <v>0</v>
      </c>
      <c r="E20" s="6" t="s">
        <v>0</v>
      </c>
      <c r="F20" s="6" t="s">
        <v>0</v>
      </c>
      <c r="G20" s="1" t="s">
        <v>0</v>
      </c>
      <c r="H20" s="1" t="s">
        <v>0</v>
      </c>
      <c r="I20" s="3" t="str">
        <f t="shared" si="1"/>
        <v/>
      </c>
    </row>
  </sheetData>
  <autoFilter ref="B2:F2" xr:uid="{00000000-0001-0000-0100-000000000000}"/>
  <mergeCells count="4">
    <mergeCell ref="A1:A2"/>
    <mergeCell ref="C1:D1"/>
    <mergeCell ref="E1:F1"/>
    <mergeCell ref="G1:H1"/>
  </mergeCells>
  <phoneticPr fontId="7" type="noConversion"/>
  <conditionalFormatting sqref="G3:G18">
    <cfRule type="containsText" dxfId="65" priority="19" operator="containsText" text="*-">
      <formula>NOT(ISERROR(SEARCH(("*-"),(G3))))</formula>
    </cfRule>
  </conditionalFormatting>
  <conditionalFormatting sqref="G3:G18">
    <cfRule type="colorScale" priority="2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5:H14 H16 H18">
    <cfRule type="containsText" dxfId="64" priority="17" operator="containsText" text="*-">
      <formula>NOT(ISERROR(SEARCH(("*-"),(H5))))</formula>
    </cfRule>
  </conditionalFormatting>
  <conditionalFormatting sqref="H5:H14 H16 H18">
    <cfRule type="colorScale" priority="1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3:H4">
    <cfRule type="containsText" dxfId="63" priority="15" operator="containsText" text="*-">
      <formula>NOT(ISERROR(SEARCH(("*-"),(H3))))</formula>
    </cfRule>
    <cfRule type="colorScale" priority="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5 H17">
    <cfRule type="containsText" dxfId="62" priority="11" operator="containsText" text="*-">
      <formula>NOT(ISERROR(SEARCH(("*-"),(H15))))</formula>
    </cfRule>
  </conditionalFormatting>
  <conditionalFormatting sqref="H15 H17">
    <cfRule type="colorScale" priority="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9">
    <cfRule type="containsText" dxfId="27" priority="7" operator="containsText" text="*-">
      <formula>NOT(ISERROR(SEARCH(("*-"),(G19))))</formula>
    </cfRule>
  </conditionalFormatting>
  <conditionalFormatting sqref="G19"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9">
    <cfRule type="containsText" dxfId="26" priority="5" operator="containsText" text="*-">
      <formula>NOT(ISERROR(SEARCH(("*-"),(H19))))</formula>
    </cfRule>
  </conditionalFormatting>
  <conditionalFormatting sqref="H19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20">
    <cfRule type="containsText" dxfId="25" priority="3" operator="containsText" text="*-">
      <formula>NOT(ISERROR(SEARCH(("*-"),(G20))))</formula>
    </cfRule>
  </conditionalFormatting>
  <conditionalFormatting sqref="G20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0">
    <cfRule type="containsText" dxfId="24" priority="1" operator="containsText" text="*-">
      <formula>NOT(ISERROR(SEARCH(("*-"),(H20))))</formula>
    </cfRule>
  </conditionalFormatting>
  <conditionalFormatting sqref="H20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0"/>
  <sheetViews>
    <sheetView workbookViewId="0">
      <pane xSplit="9" ySplit="2" topLeftCell="J3" activePane="bottomRight" state="frozen"/>
      <selection pane="topRight" activeCell="J1" sqref="J1"/>
      <selection pane="bottomLeft" activeCell="A3" sqref="A3"/>
      <selection pane="bottomRight" activeCell="B29" sqref="B29"/>
    </sheetView>
  </sheetViews>
  <sheetFormatPr defaultRowHeight="15" customHeight="1" x14ac:dyDescent="0.35"/>
  <cols>
    <col min="1" max="1" width="5.6328125" style="4" customWidth="1"/>
    <col min="2" max="2" width="50.6328125" style="4" customWidth="1"/>
    <col min="3" max="4" width="33.6328125" style="4" customWidth="1"/>
    <col min="5" max="6" width="12.6328125" style="4" customWidth="1"/>
    <col min="7" max="8" width="3.6328125" style="4" customWidth="1"/>
    <col min="9" max="9" width="12.6328125" style="4" customWidth="1"/>
  </cols>
  <sheetData>
    <row r="1" spans="1:9" ht="15" customHeight="1" x14ac:dyDescent="0.35">
      <c r="A1" s="24" t="s">
        <v>1</v>
      </c>
      <c r="B1" s="23"/>
      <c r="C1" s="26" t="s">
        <v>2</v>
      </c>
      <c r="D1" s="27"/>
      <c r="E1" s="28" t="s">
        <v>3</v>
      </c>
      <c r="F1" s="29"/>
      <c r="G1" s="30" t="s">
        <v>6</v>
      </c>
      <c r="H1" s="31"/>
      <c r="I1" s="2"/>
    </row>
    <row r="2" spans="1:9" ht="15" customHeight="1" x14ac:dyDescent="0.35">
      <c r="A2" s="25"/>
      <c r="B2" s="23" t="s">
        <v>85</v>
      </c>
      <c r="C2" s="5" t="s">
        <v>86</v>
      </c>
      <c r="D2" s="5" t="s">
        <v>87</v>
      </c>
      <c r="E2" s="7" t="s">
        <v>26</v>
      </c>
      <c r="F2" s="7" t="s">
        <v>58</v>
      </c>
      <c r="G2" s="18" t="s">
        <v>26</v>
      </c>
      <c r="H2" s="18" t="s">
        <v>58</v>
      </c>
      <c r="I2" s="2"/>
    </row>
    <row r="3" spans="1:9" ht="15" customHeight="1" x14ac:dyDescent="0.35">
      <c r="A3" s="8">
        <v>2008</v>
      </c>
      <c r="B3" s="9" t="s">
        <v>55</v>
      </c>
      <c r="C3" s="21" t="s">
        <v>53</v>
      </c>
      <c r="D3" s="10"/>
      <c r="E3" s="6" t="s">
        <v>0</v>
      </c>
      <c r="F3" s="11" t="s">
        <v>41</v>
      </c>
      <c r="G3" s="19" t="s">
        <v>0</v>
      </c>
      <c r="H3" s="1">
        <v>1</v>
      </c>
      <c r="I3" s="3" t="str">
        <f>IF(OR(AND(G3&gt;1,G3&lt;&gt;"-"),AND(H3&gt;1,H3&lt;&gt;"-")),"Can exchange","")</f>
        <v/>
      </c>
    </row>
    <row r="4" spans="1:9" ht="15" customHeight="1" x14ac:dyDescent="0.35">
      <c r="A4" s="8">
        <v>2009</v>
      </c>
      <c r="B4" s="9" t="s">
        <v>55</v>
      </c>
      <c r="C4" s="21" t="s">
        <v>53</v>
      </c>
      <c r="D4" s="10"/>
      <c r="E4" s="6" t="s">
        <v>0</v>
      </c>
      <c r="F4" s="11" t="s">
        <v>42</v>
      </c>
      <c r="G4" s="19" t="s">
        <v>0</v>
      </c>
      <c r="H4" s="1">
        <v>0</v>
      </c>
      <c r="I4" s="3" t="str">
        <f t="shared" ref="I4:I15" si="0">IF(OR(AND(G4&gt;1,G4&lt;&gt;"-"),AND(H4&gt;1,H4&lt;&gt;"-")),"Can exchange","")</f>
        <v/>
      </c>
    </row>
    <row r="5" spans="1:9" ht="15" customHeight="1" x14ac:dyDescent="0.35">
      <c r="A5" s="8">
        <v>2010</v>
      </c>
      <c r="B5" s="9" t="s">
        <v>55</v>
      </c>
      <c r="C5" s="21" t="s">
        <v>53</v>
      </c>
      <c r="D5" s="10"/>
      <c r="E5" s="11" t="s">
        <v>29</v>
      </c>
      <c r="F5" s="6" t="s">
        <v>0</v>
      </c>
      <c r="G5" s="19">
        <v>0</v>
      </c>
      <c r="H5" s="19" t="s">
        <v>0</v>
      </c>
      <c r="I5" s="3" t="str">
        <f t="shared" si="0"/>
        <v/>
      </c>
    </row>
    <row r="6" spans="1:9" ht="15" customHeight="1" x14ac:dyDescent="0.35">
      <c r="A6" s="8">
        <v>2011</v>
      </c>
      <c r="B6" s="9" t="s">
        <v>55</v>
      </c>
      <c r="C6" s="21" t="s">
        <v>53</v>
      </c>
      <c r="D6" s="10"/>
      <c r="E6" s="11" t="s">
        <v>39</v>
      </c>
      <c r="F6" s="6" t="s">
        <v>0</v>
      </c>
      <c r="G6" s="19">
        <v>0</v>
      </c>
      <c r="H6" s="19" t="s">
        <v>0</v>
      </c>
      <c r="I6" s="3" t="str">
        <f t="shared" si="0"/>
        <v/>
      </c>
    </row>
    <row r="7" spans="1:9" ht="15" customHeight="1" x14ac:dyDescent="0.35">
      <c r="A7" s="8">
        <v>2012</v>
      </c>
      <c r="B7" s="9" t="s">
        <v>55</v>
      </c>
      <c r="C7" s="21" t="s">
        <v>53</v>
      </c>
      <c r="D7" s="10"/>
      <c r="E7" s="11" t="s">
        <v>38</v>
      </c>
      <c r="F7" s="6" t="s">
        <v>0</v>
      </c>
      <c r="G7" s="19">
        <v>0</v>
      </c>
      <c r="H7" s="19" t="s">
        <v>0</v>
      </c>
      <c r="I7" s="3" t="str">
        <f t="shared" si="0"/>
        <v/>
      </c>
    </row>
    <row r="8" spans="1:9" ht="15" customHeight="1" x14ac:dyDescent="0.35">
      <c r="A8" s="8">
        <v>2013</v>
      </c>
      <c r="B8" s="9" t="s">
        <v>55</v>
      </c>
      <c r="C8" s="21" t="s">
        <v>53</v>
      </c>
      <c r="D8" s="10"/>
      <c r="E8" s="11" t="s">
        <v>32</v>
      </c>
      <c r="F8" s="6" t="s">
        <v>0</v>
      </c>
      <c r="G8" s="19">
        <v>0</v>
      </c>
      <c r="H8" s="19" t="s">
        <v>0</v>
      </c>
      <c r="I8" s="3" t="str">
        <f t="shared" si="0"/>
        <v/>
      </c>
    </row>
    <row r="9" spans="1:9" ht="15" customHeight="1" x14ac:dyDescent="0.35">
      <c r="A9" s="8">
        <v>2014</v>
      </c>
      <c r="B9" s="9" t="s">
        <v>55</v>
      </c>
      <c r="C9" s="21" t="s">
        <v>53</v>
      </c>
      <c r="D9" s="10"/>
      <c r="E9" s="11" t="s">
        <v>32</v>
      </c>
      <c r="F9" s="6" t="s">
        <v>0</v>
      </c>
      <c r="G9" s="19">
        <v>0</v>
      </c>
      <c r="H9" s="19" t="s">
        <v>0</v>
      </c>
      <c r="I9" s="3" t="str">
        <f t="shared" si="0"/>
        <v/>
      </c>
    </row>
    <row r="10" spans="1:9" ht="15" customHeight="1" x14ac:dyDescent="0.35">
      <c r="A10" s="8">
        <v>2015</v>
      </c>
      <c r="B10" s="9" t="s">
        <v>55</v>
      </c>
      <c r="C10" s="21" t="s">
        <v>53</v>
      </c>
      <c r="D10" s="10"/>
      <c r="E10" s="11" t="s">
        <v>32</v>
      </c>
      <c r="F10" s="6" t="s">
        <v>0</v>
      </c>
      <c r="G10" s="19">
        <v>0</v>
      </c>
      <c r="H10" s="19" t="s">
        <v>0</v>
      </c>
      <c r="I10" s="3" t="str">
        <f t="shared" si="0"/>
        <v/>
      </c>
    </row>
    <row r="11" spans="1:9" ht="15" customHeight="1" x14ac:dyDescent="0.35">
      <c r="A11" s="8">
        <v>2016</v>
      </c>
      <c r="B11" s="9" t="s">
        <v>55</v>
      </c>
      <c r="C11" s="21" t="s">
        <v>53</v>
      </c>
      <c r="D11" s="10"/>
      <c r="E11" s="11" t="s">
        <v>32</v>
      </c>
      <c r="F11" s="6" t="s">
        <v>0</v>
      </c>
      <c r="G11" s="19">
        <v>0</v>
      </c>
      <c r="H11" s="19" t="s">
        <v>0</v>
      </c>
      <c r="I11" s="3" t="str">
        <f t="shared" si="0"/>
        <v/>
      </c>
    </row>
    <row r="12" spans="1:9" ht="15" customHeight="1" x14ac:dyDescent="0.35">
      <c r="A12" s="8">
        <v>2017</v>
      </c>
      <c r="B12" s="9" t="s">
        <v>55</v>
      </c>
      <c r="C12" s="21" t="s">
        <v>53</v>
      </c>
      <c r="D12" s="10"/>
      <c r="E12" s="11" t="s">
        <v>32</v>
      </c>
      <c r="F12" s="6" t="s">
        <v>0</v>
      </c>
      <c r="G12" s="19">
        <v>0</v>
      </c>
      <c r="H12" s="19" t="s">
        <v>0</v>
      </c>
      <c r="I12" s="3" t="str">
        <f t="shared" si="0"/>
        <v/>
      </c>
    </row>
    <row r="13" spans="1:9" ht="15" customHeight="1" x14ac:dyDescent="0.35">
      <c r="A13" s="8">
        <v>2018</v>
      </c>
      <c r="B13" s="9" t="s">
        <v>55</v>
      </c>
      <c r="C13" s="21" t="s">
        <v>53</v>
      </c>
      <c r="D13" s="10"/>
      <c r="E13" s="11" t="s">
        <v>32</v>
      </c>
      <c r="F13" s="6" t="s">
        <v>0</v>
      </c>
      <c r="G13" s="19">
        <v>0</v>
      </c>
      <c r="H13" s="19" t="s">
        <v>0</v>
      </c>
      <c r="I13" s="3" t="str">
        <f t="shared" si="0"/>
        <v/>
      </c>
    </row>
    <row r="14" spans="1:9" ht="15" customHeight="1" x14ac:dyDescent="0.35">
      <c r="A14" s="8">
        <v>2019</v>
      </c>
      <c r="B14" s="9" t="s">
        <v>55</v>
      </c>
      <c r="C14" s="21" t="s">
        <v>53</v>
      </c>
      <c r="D14" s="10"/>
      <c r="E14" s="11" t="s">
        <v>40</v>
      </c>
      <c r="F14" s="6" t="s">
        <v>0</v>
      </c>
      <c r="G14" s="19">
        <v>0</v>
      </c>
      <c r="H14" s="19" t="s">
        <v>0</v>
      </c>
      <c r="I14" s="3" t="str">
        <f t="shared" si="0"/>
        <v/>
      </c>
    </row>
    <row r="15" spans="1:9" ht="15" customHeight="1" x14ac:dyDescent="0.35">
      <c r="A15" s="8">
        <v>2020</v>
      </c>
      <c r="B15" s="9" t="s">
        <v>55</v>
      </c>
      <c r="C15" s="21" t="s">
        <v>53</v>
      </c>
      <c r="D15" s="10"/>
      <c r="E15" s="11" t="s">
        <v>61</v>
      </c>
      <c r="F15" s="6" t="s">
        <v>0</v>
      </c>
      <c r="G15" s="19">
        <v>0</v>
      </c>
      <c r="H15" s="19" t="s">
        <v>0</v>
      </c>
      <c r="I15" s="3" t="str">
        <f t="shared" si="0"/>
        <v/>
      </c>
    </row>
    <row r="16" spans="1:9" ht="15" customHeight="1" x14ac:dyDescent="0.35">
      <c r="A16" s="8">
        <v>2021</v>
      </c>
      <c r="B16" s="9" t="s">
        <v>55</v>
      </c>
      <c r="C16" s="21" t="s">
        <v>53</v>
      </c>
      <c r="D16" s="10"/>
      <c r="E16" s="11" t="s">
        <v>69</v>
      </c>
      <c r="F16" s="6" t="s">
        <v>0</v>
      </c>
      <c r="G16" s="19">
        <v>0</v>
      </c>
      <c r="H16" s="19" t="s">
        <v>0</v>
      </c>
      <c r="I16" s="3" t="str">
        <f t="shared" ref="I16:I20" si="1">IF(OR(AND(G16&gt;1,G16&lt;&gt;"-"),AND(H16&gt;1,H16&lt;&gt;"-")),"Can exchange","")</f>
        <v/>
      </c>
    </row>
    <row r="17" spans="1:9" ht="15" customHeight="1" x14ac:dyDescent="0.35">
      <c r="A17" s="8">
        <v>2022</v>
      </c>
      <c r="B17" s="9" t="s">
        <v>55</v>
      </c>
      <c r="C17" s="21" t="s">
        <v>53</v>
      </c>
      <c r="D17" s="10"/>
      <c r="E17" s="11" t="s">
        <v>77</v>
      </c>
      <c r="F17" s="6" t="s">
        <v>0</v>
      </c>
      <c r="G17" s="19">
        <v>0</v>
      </c>
      <c r="H17" s="19" t="s">
        <v>0</v>
      </c>
      <c r="I17" s="3" t="str">
        <f t="shared" si="1"/>
        <v/>
      </c>
    </row>
    <row r="18" spans="1:9" ht="15" customHeight="1" x14ac:dyDescent="0.35">
      <c r="A18" s="8">
        <v>2023</v>
      </c>
      <c r="B18" s="9" t="s">
        <v>55</v>
      </c>
      <c r="C18" s="21" t="s">
        <v>53</v>
      </c>
      <c r="D18" s="10"/>
      <c r="E18" s="11" t="s">
        <v>81</v>
      </c>
      <c r="F18" s="6" t="s">
        <v>0</v>
      </c>
      <c r="G18" s="19">
        <v>0</v>
      </c>
      <c r="H18" s="19" t="s">
        <v>0</v>
      </c>
      <c r="I18" s="3" t="str">
        <f t="shared" si="1"/>
        <v/>
      </c>
    </row>
    <row r="19" spans="1:9" ht="15" customHeight="1" x14ac:dyDescent="0.35">
      <c r="A19" s="8">
        <v>2024</v>
      </c>
      <c r="B19" s="9" t="s">
        <v>55</v>
      </c>
      <c r="C19" s="21" t="s">
        <v>53</v>
      </c>
      <c r="D19" s="10"/>
      <c r="E19" s="11" t="s">
        <v>65</v>
      </c>
      <c r="F19" s="6" t="s">
        <v>0</v>
      </c>
      <c r="G19" s="19">
        <v>0</v>
      </c>
      <c r="H19" s="19" t="s">
        <v>0</v>
      </c>
      <c r="I19" s="3" t="str">
        <f t="shared" si="1"/>
        <v/>
      </c>
    </row>
    <row r="20" spans="1:9" ht="15" customHeight="1" x14ac:dyDescent="0.35">
      <c r="A20" s="8">
        <v>2025</v>
      </c>
      <c r="B20" s="6" t="s">
        <v>0</v>
      </c>
      <c r="C20" s="6" t="s">
        <v>0</v>
      </c>
      <c r="D20" s="6" t="s">
        <v>0</v>
      </c>
      <c r="E20" s="6" t="s">
        <v>0</v>
      </c>
      <c r="F20" s="6" t="s">
        <v>0</v>
      </c>
      <c r="G20" s="1" t="s">
        <v>0</v>
      </c>
      <c r="H20" s="1" t="s">
        <v>0</v>
      </c>
      <c r="I20" s="3" t="str">
        <f t="shared" si="1"/>
        <v/>
      </c>
    </row>
  </sheetData>
  <autoFilter ref="B2:F2" xr:uid="{00000000-0001-0000-0200-000000000000}"/>
  <mergeCells count="4">
    <mergeCell ref="A1:A2"/>
    <mergeCell ref="C1:D1"/>
    <mergeCell ref="E1:F1"/>
    <mergeCell ref="G1:H1"/>
  </mergeCells>
  <phoneticPr fontId="7" type="noConversion"/>
  <conditionalFormatting sqref="G3:G14 G16 G18">
    <cfRule type="containsText" dxfId="61" priority="21" operator="containsText" text="*-">
      <formula>NOT(ISERROR(SEARCH(("*-"),(G3))))</formula>
    </cfRule>
  </conditionalFormatting>
  <conditionalFormatting sqref="G3:G14 G16 G18">
    <cfRule type="colorScale" priority="2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5:H14 H16 H18">
    <cfRule type="containsText" dxfId="60" priority="19" operator="containsText" text="*-">
      <formula>NOT(ISERROR(SEARCH(("*-"),(H5))))</formula>
    </cfRule>
  </conditionalFormatting>
  <conditionalFormatting sqref="H5:H14 H16 H18">
    <cfRule type="colorScale" priority="2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3:H4">
    <cfRule type="containsText" dxfId="59" priority="17" operator="containsText" text="*-">
      <formula>NOT(ISERROR(SEARCH(("*-"),(H3))))</formula>
    </cfRule>
    <cfRule type="colorScale" priority="1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5 H17">
    <cfRule type="containsText" dxfId="58" priority="13" operator="containsText" text="*-">
      <formula>NOT(ISERROR(SEARCH(("*-"),(H15))))</formula>
    </cfRule>
  </conditionalFormatting>
  <conditionalFormatting sqref="H15 H17">
    <cfRule type="colorScale" priority="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5 G17">
    <cfRule type="containsText" dxfId="57" priority="9" operator="containsText" text="*-">
      <formula>NOT(ISERROR(SEARCH(("*-"),(G15))))</formula>
    </cfRule>
  </conditionalFormatting>
  <conditionalFormatting sqref="G15 G17"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9">
    <cfRule type="containsText" dxfId="23" priority="7" operator="containsText" text="*-">
      <formula>NOT(ISERROR(SEARCH(("*-"),(G19))))</formula>
    </cfRule>
  </conditionalFormatting>
  <conditionalFormatting sqref="G19"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9">
    <cfRule type="containsText" dxfId="22" priority="5" operator="containsText" text="*-">
      <formula>NOT(ISERROR(SEARCH(("*-"),(H19))))</formula>
    </cfRule>
  </conditionalFormatting>
  <conditionalFormatting sqref="H19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20">
    <cfRule type="containsText" dxfId="21" priority="3" operator="containsText" text="*-">
      <formula>NOT(ISERROR(SEARCH(("*-"),(G20))))</formula>
    </cfRule>
  </conditionalFormatting>
  <conditionalFormatting sqref="G20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0">
    <cfRule type="containsText" dxfId="20" priority="1" operator="containsText" text="*-">
      <formula>NOT(ISERROR(SEARCH(("*-"),(H20))))</formula>
    </cfRule>
  </conditionalFormatting>
  <conditionalFormatting sqref="H20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0"/>
  <sheetViews>
    <sheetView workbookViewId="0">
      <pane xSplit="9" ySplit="2" topLeftCell="J3" activePane="bottomRight" state="frozen"/>
      <selection pane="topRight" activeCell="H1" sqref="H1"/>
      <selection pane="bottomLeft" activeCell="A3" sqref="A3"/>
      <selection pane="bottomRight" activeCell="A19" sqref="A19:I20"/>
    </sheetView>
  </sheetViews>
  <sheetFormatPr defaultRowHeight="15" customHeight="1" x14ac:dyDescent="0.35"/>
  <cols>
    <col min="1" max="1" width="5.6328125" style="4" customWidth="1"/>
    <col min="2" max="2" width="50.6328125" style="4" customWidth="1"/>
    <col min="3" max="4" width="33.6328125" style="4" customWidth="1"/>
    <col min="5" max="6" width="12.6328125" style="4" customWidth="1"/>
    <col min="7" max="8" width="3.6328125" style="4" customWidth="1"/>
    <col min="9" max="9" width="12.6328125" style="4" customWidth="1"/>
  </cols>
  <sheetData>
    <row r="1" spans="1:9" ht="15" customHeight="1" x14ac:dyDescent="0.35">
      <c r="A1" s="32" t="s">
        <v>1</v>
      </c>
      <c r="B1" s="23"/>
      <c r="C1" s="26" t="s">
        <v>2</v>
      </c>
      <c r="D1" s="34"/>
      <c r="E1" s="28" t="s">
        <v>3</v>
      </c>
      <c r="F1" s="35"/>
      <c r="G1" s="36" t="s">
        <v>7</v>
      </c>
      <c r="H1" s="37"/>
      <c r="I1" s="2"/>
    </row>
    <row r="2" spans="1:9" ht="15" customHeight="1" x14ac:dyDescent="0.35">
      <c r="A2" s="33"/>
      <c r="B2" s="23" t="s">
        <v>85</v>
      </c>
      <c r="C2" s="5" t="s">
        <v>86</v>
      </c>
      <c r="D2" s="5" t="s">
        <v>88</v>
      </c>
      <c r="E2" s="7" t="s">
        <v>26</v>
      </c>
      <c r="F2" s="7" t="s">
        <v>58</v>
      </c>
      <c r="G2" s="18" t="s">
        <v>26</v>
      </c>
      <c r="H2" s="18" t="s">
        <v>58</v>
      </c>
      <c r="I2" s="2"/>
    </row>
    <row r="3" spans="1:9" ht="15" customHeight="1" x14ac:dyDescent="0.35">
      <c r="A3" s="8">
        <v>2008</v>
      </c>
      <c r="B3" s="7" t="s">
        <v>56</v>
      </c>
      <c r="C3" s="21" t="s">
        <v>53</v>
      </c>
      <c r="D3" s="10" t="s">
        <v>54</v>
      </c>
      <c r="E3" s="6" t="s">
        <v>0</v>
      </c>
      <c r="F3" s="11" t="s">
        <v>44</v>
      </c>
      <c r="G3" s="19" t="s">
        <v>0</v>
      </c>
      <c r="H3" s="1">
        <v>1</v>
      </c>
      <c r="I3" s="3" t="str">
        <f>IF(OR(AND(G3&gt;1,G3&lt;&gt;"-"),AND(H3&gt;1,H3&lt;&gt;"-")),"Can exchange","")</f>
        <v/>
      </c>
    </row>
    <row r="4" spans="1:9" ht="15" customHeight="1" x14ac:dyDescent="0.35">
      <c r="A4" s="8">
        <v>2009</v>
      </c>
      <c r="B4" s="7" t="s">
        <v>56</v>
      </c>
      <c r="C4" s="21" t="s">
        <v>53</v>
      </c>
      <c r="D4" s="10" t="s">
        <v>54</v>
      </c>
      <c r="E4" s="6" t="s">
        <v>0</v>
      </c>
      <c r="F4" s="11" t="s">
        <v>38</v>
      </c>
      <c r="G4" s="19" t="s">
        <v>0</v>
      </c>
      <c r="H4" s="1">
        <v>0</v>
      </c>
      <c r="I4" s="3" t="str">
        <f t="shared" ref="I4:I15" si="0">IF(OR(AND(G4&gt;1,G4&lt;&gt;"-"),AND(H4&gt;1,H4&lt;&gt;"-")),"Can exchange","")</f>
        <v/>
      </c>
    </row>
    <row r="5" spans="1:9" ht="15" customHeight="1" x14ac:dyDescent="0.35">
      <c r="A5" s="8">
        <v>2010</v>
      </c>
      <c r="B5" s="7" t="s">
        <v>56</v>
      </c>
      <c r="C5" s="21" t="s">
        <v>53</v>
      </c>
      <c r="D5" s="10" t="s">
        <v>54</v>
      </c>
      <c r="E5" s="11" t="s">
        <v>29</v>
      </c>
      <c r="F5" s="6" t="s">
        <v>0</v>
      </c>
      <c r="G5" s="19">
        <v>0</v>
      </c>
      <c r="H5" s="19" t="s">
        <v>0</v>
      </c>
      <c r="I5" s="3" t="str">
        <f t="shared" si="0"/>
        <v/>
      </c>
    </row>
    <row r="6" spans="1:9" ht="15" customHeight="1" x14ac:dyDescent="0.35">
      <c r="A6" s="8">
        <v>2011</v>
      </c>
      <c r="B6" s="7" t="s">
        <v>56</v>
      </c>
      <c r="C6" s="21" t="s">
        <v>53</v>
      </c>
      <c r="D6" s="10" t="s">
        <v>54</v>
      </c>
      <c r="E6" s="11" t="s">
        <v>31</v>
      </c>
      <c r="F6" s="6" t="s">
        <v>0</v>
      </c>
      <c r="G6" s="19">
        <v>0</v>
      </c>
      <c r="H6" s="19" t="s">
        <v>0</v>
      </c>
      <c r="I6" s="3" t="str">
        <f t="shared" si="0"/>
        <v/>
      </c>
    </row>
    <row r="7" spans="1:9" ht="15" customHeight="1" x14ac:dyDescent="0.35">
      <c r="A7" s="8">
        <v>2012</v>
      </c>
      <c r="B7" s="7" t="s">
        <v>56</v>
      </c>
      <c r="C7" s="21" t="s">
        <v>53</v>
      </c>
      <c r="D7" s="10" t="s">
        <v>54</v>
      </c>
      <c r="E7" s="11" t="s">
        <v>38</v>
      </c>
      <c r="F7" s="6" t="s">
        <v>0</v>
      </c>
      <c r="G7" s="19">
        <v>0</v>
      </c>
      <c r="H7" s="19" t="s">
        <v>0</v>
      </c>
      <c r="I7" s="3" t="str">
        <f t="shared" si="0"/>
        <v/>
      </c>
    </row>
    <row r="8" spans="1:9" ht="15" customHeight="1" x14ac:dyDescent="0.35">
      <c r="A8" s="8">
        <v>2013</v>
      </c>
      <c r="B8" s="7" t="s">
        <v>56</v>
      </c>
      <c r="C8" s="21" t="s">
        <v>53</v>
      </c>
      <c r="D8" s="10" t="s">
        <v>54</v>
      </c>
      <c r="E8" s="11" t="s">
        <v>32</v>
      </c>
      <c r="F8" s="6" t="s">
        <v>0</v>
      </c>
      <c r="G8" s="19">
        <v>0</v>
      </c>
      <c r="H8" s="19" t="s">
        <v>0</v>
      </c>
      <c r="I8" s="3" t="str">
        <f t="shared" si="0"/>
        <v/>
      </c>
    </row>
    <row r="9" spans="1:9" ht="15" customHeight="1" x14ac:dyDescent="0.35">
      <c r="A9" s="8">
        <v>2014</v>
      </c>
      <c r="B9" s="7" t="s">
        <v>56</v>
      </c>
      <c r="C9" s="21" t="s">
        <v>53</v>
      </c>
      <c r="D9" s="10" t="s">
        <v>54</v>
      </c>
      <c r="E9" s="11" t="s">
        <v>32</v>
      </c>
      <c r="F9" s="6" t="s">
        <v>0</v>
      </c>
      <c r="G9" s="19">
        <v>0</v>
      </c>
      <c r="H9" s="19" t="s">
        <v>0</v>
      </c>
      <c r="I9" s="3" t="str">
        <f t="shared" si="0"/>
        <v/>
      </c>
    </row>
    <row r="10" spans="1:9" ht="15" customHeight="1" x14ac:dyDescent="0.35">
      <c r="A10" s="8">
        <v>2015</v>
      </c>
      <c r="B10" s="7" t="s">
        <v>56</v>
      </c>
      <c r="C10" s="21" t="s">
        <v>53</v>
      </c>
      <c r="D10" s="10" t="s">
        <v>54</v>
      </c>
      <c r="E10" s="11" t="s">
        <v>32</v>
      </c>
      <c r="F10" s="6" t="s">
        <v>0</v>
      </c>
      <c r="G10" s="19">
        <v>0</v>
      </c>
      <c r="H10" s="19" t="s">
        <v>0</v>
      </c>
      <c r="I10" s="3" t="str">
        <f t="shared" si="0"/>
        <v/>
      </c>
    </row>
    <row r="11" spans="1:9" ht="15" customHeight="1" x14ac:dyDescent="0.35">
      <c r="A11" s="8">
        <v>2016</v>
      </c>
      <c r="B11" s="7" t="s">
        <v>56</v>
      </c>
      <c r="C11" s="21" t="s">
        <v>53</v>
      </c>
      <c r="D11" s="10" t="s">
        <v>54</v>
      </c>
      <c r="E11" s="11" t="s">
        <v>32</v>
      </c>
      <c r="F11" s="6" t="s">
        <v>0</v>
      </c>
      <c r="G11" s="19">
        <v>0</v>
      </c>
      <c r="H11" s="19" t="s">
        <v>0</v>
      </c>
      <c r="I11" s="3" t="str">
        <f t="shared" si="0"/>
        <v/>
      </c>
    </row>
    <row r="12" spans="1:9" ht="15" customHeight="1" x14ac:dyDescent="0.35">
      <c r="A12" s="8">
        <v>2017</v>
      </c>
      <c r="B12" s="7" t="s">
        <v>56</v>
      </c>
      <c r="C12" s="21" t="s">
        <v>53</v>
      </c>
      <c r="D12" s="10" t="s">
        <v>54</v>
      </c>
      <c r="E12" s="11" t="s">
        <v>32</v>
      </c>
      <c r="F12" s="6" t="s">
        <v>0</v>
      </c>
      <c r="G12" s="19">
        <v>0</v>
      </c>
      <c r="H12" s="19" t="s">
        <v>0</v>
      </c>
      <c r="I12" s="3" t="str">
        <f t="shared" si="0"/>
        <v/>
      </c>
    </row>
    <row r="13" spans="1:9" ht="15" customHeight="1" x14ac:dyDescent="0.35">
      <c r="A13" s="8">
        <v>2018</v>
      </c>
      <c r="B13" s="7" t="s">
        <v>56</v>
      </c>
      <c r="C13" s="21" t="s">
        <v>53</v>
      </c>
      <c r="D13" s="10" t="s">
        <v>54</v>
      </c>
      <c r="E13" s="11" t="s">
        <v>32</v>
      </c>
      <c r="F13" s="6" t="s">
        <v>0</v>
      </c>
      <c r="G13" s="19">
        <v>0</v>
      </c>
      <c r="H13" s="19" t="s">
        <v>0</v>
      </c>
      <c r="I13" s="3" t="str">
        <f t="shared" si="0"/>
        <v/>
      </c>
    </row>
    <row r="14" spans="1:9" ht="15" customHeight="1" x14ac:dyDescent="0.35">
      <c r="A14" s="8">
        <v>2019</v>
      </c>
      <c r="B14" s="7" t="s">
        <v>56</v>
      </c>
      <c r="C14" s="21" t="s">
        <v>53</v>
      </c>
      <c r="D14" s="10" t="s">
        <v>54</v>
      </c>
      <c r="E14" s="11" t="s">
        <v>43</v>
      </c>
      <c r="F14" s="6" t="s">
        <v>0</v>
      </c>
      <c r="G14" s="19">
        <v>0</v>
      </c>
      <c r="H14" s="19" t="s">
        <v>0</v>
      </c>
      <c r="I14" s="3" t="str">
        <f t="shared" si="0"/>
        <v/>
      </c>
    </row>
    <row r="15" spans="1:9" ht="15" customHeight="1" x14ac:dyDescent="0.35">
      <c r="A15" s="8">
        <v>2020</v>
      </c>
      <c r="B15" s="7" t="s">
        <v>56</v>
      </c>
      <c r="C15" s="21" t="s">
        <v>53</v>
      </c>
      <c r="D15" s="10" t="s">
        <v>54</v>
      </c>
      <c r="E15" s="11" t="s">
        <v>62</v>
      </c>
      <c r="F15" s="6" t="s">
        <v>0</v>
      </c>
      <c r="G15" s="19">
        <v>0</v>
      </c>
      <c r="H15" s="19" t="s">
        <v>0</v>
      </c>
      <c r="I15" s="3" t="str">
        <f t="shared" si="0"/>
        <v/>
      </c>
    </row>
    <row r="16" spans="1:9" ht="15" customHeight="1" x14ac:dyDescent="0.35">
      <c r="A16" s="8">
        <v>2021</v>
      </c>
      <c r="B16" s="7" t="s">
        <v>56</v>
      </c>
      <c r="C16" s="21" t="s">
        <v>53</v>
      </c>
      <c r="D16" s="10" t="s">
        <v>54</v>
      </c>
      <c r="E16" s="11" t="s">
        <v>70</v>
      </c>
      <c r="F16" s="6" t="s">
        <v>0</v>
      </c>
      <c r="G16" s="19">
        <v>0</v>
      </c>
      <c r="H16" s="19" t="s">
        <v>0</v>
      </c>
      <c r="I16" s="3" t="str">
        <f t="shared" ref="I16:I20" si="1">IF(OR(AND(G16&gt;1,G16&lt;&gt;"-"),AND(H16&gt;1,H16&lt;&gt;"-")),"Can exchange","")</f>
        <v/>
      </c>
    </row>
    <row r="17" spans="1:9" ht="15" customHeight="1" x14ac:dyDescent="0.35">
      <c r="A17" s="8">
        <v>2022</v>
      </c>
      <c r="B17" s="7" t="s">
        <v>56</v>
      </c>
      <c r="C17" s="21" t="s">
        <v>53</v>
      </c>
      <c r="D17" s="10" t="s">
        <v>54</v>
      </c>
      <c r="E17" s="11" t="s">
        <v>71</v>
      </c>
      <c r="F17" s="6" t="s">
        <v>0</v>
      </c>
      <c r="G17" s="19">
        <v>0</v>
      </c>
      <c r="H17" s="19" t="s">
        <v>0</v>
      </c>
      <c r="I17" s="3" t="str">
        <f t="shared" si="1"/>
        <v/>
      </c>
    </row>
    <row r="18" spans="1:9" ht="15" customHeight="1" x14ac:dyDescent="0.35">
      <c r="A18" s="8">
        <v>2023</v>
      </c>
      <c r="B18" s="7" t="s">
        <v>56</v>
      </c>
      <c r="C18" s="21" t="s">
        <v>53</v>
      </c>
      <c r="D18" s="10" t="s">
        <v>54</v>
      </c>
      <c r="E18" s="11" t="s">
        <v>83</v>
      </c>
      <c r="F18" s="6" t="s">
        <v>0</v>
      </c>
      <c r="G18" s="19">
        <v>0</v>
      </c>
      <c r="H18" s="19" t="s">
        <v>0</v>
      </c>
      <c r="I18" s="3" t="str">
        <f t="shared" si="1"/>
        <v/>
      </c>
    </row>
    <row r="19" spans="1:9" ht="15" customHeight="1" x14ac:dyDescent="0.35">
      <c r="A19" s="8">
        <v>2024</v>
      </c>
      <c r="B19" s="7" t="s">
        <v>56</v>
      </c>
      <c r="C19" s="21" t="s">
        <v>53</v>
      </c>
      <c r="D19" s="10" t="s">
        <v>54</v>
      </c>
      <c r="E19" s="11" t="s">
        <v>65</v>
      </c>
      <c r="F19" s="6" t="s">
        <v>0</v>
      </c>
      <c r="G19" s="19">
        <v>0</v>
      </c>
      <c r="H19" s="19" t="s">
        <v>0</v>
      </c>
      <c r="I19" s="3" t="str">
        <f t="shared" si="1"/>
        <v/>
      </c>
    </row>
    <row r="20" spans="1:9" ht="15" customHeight="1" x14ac:dyDescent="0.35">
      <c r="A20" s="8">
        <v>2025</v>
      </c>
      <c r="B20" s="6" t="s">
        <v>0</v>
      </c>
      <c r="C20" s="6" t="s">
        <v>0</v>
      </c>
      <c r="D20" s="6" t="s">
        <v>0</v>
      </c>
      <c r="E20" s="6" t="s">
        <v>0</v>
      </c>
      <c r="F20" s="6" t="s">
        <v>0</v>
      </c>
      <c r="G20" s="1" t="s">
        <v>0</v>
      </c>
      <c r="H20" s="1" t="s">
        <v>0</v>
      </c>
      <c r="I20" s="3" t="str">
        <f t="shared" si="1"/>
        <v/>
      </c>
    </row>
  </sheetData>
  <autoFilter ref="B2:F2" xr:uid="{00000000-0001-0000-0300-000000000000}"/>
  <mergeCells count="4">
    <mergeCell ref="A1:A2"/>
    <mergeCell ref="C1:D1"/>
    <mergeCell ref="E1:F1"/>
    <mergeCell ref="G1:H1"/>
  </mergeCells>
  <phoneticPr fontId="8" type="noConversion"/>
  <conditionalFormatting sqref="G3:G14 G16 G18">
    <cfRule type="containsText" dxfId="56" priority="17" operator="containsText" text="*-">
      <formula>NOT(ISERROR(SEARCH(("*-"),(G3))))</formula>
    </cfRule>
  </conditionalFormatting>
  <conditionalFormatting sqref="G3:G14 G16 G18">
    <cfRule type="colorScale" priority="1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5:H14 H16 H18">
    <cfRule type="containsText" dxfId="55" priority="15" operator="containsText" text="*-">
      <formula>NOT(ISERROR(SEARCH(("*-"),(H5))))</formula>
    </cfRule>
  </conditionalFormatting>
  <conditionalFormatting sqref="H5:H14 H16 H18">
    <cfRule type="colorScale" priority="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3:H4">
    <cfRule type="containsText" dxfId="54" priority="13" operator="containsText" text="*-">
      <formula>NOT(ISERROR(SEARCH(("*-"),(H3))))</formula>
    </cfRule>
    <cfRule type="colorScale" priority="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5 G17">
    <cfRule type="containsText" dxfId="53" priority="11" operator="containsText" text="*-">
      <formula>NOT(ISERROR(SEARCH(("*-"),(G15))))</formula>
    </cfRule>
  </conditionalFormatting>
  <conditionalFormatting sqref="G15 G17">
    <cfRule type="colorScale" priority="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5 H17">
    <cfRule type="containsText" dxfId="52" priority="9" operator="containsText" text="*-">
      <formula>NOT(ISERROR(SEARCH(("*-"),(H15))))</formula>
    </cfRule>
  </conditionalFormatting>
  <conditionalFormatting sqref="H15 H17"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9">
    <cfRule type="containsText" dxfId="19" priority="7" operator="containsText" text="*-">
      <formula>NOT(ISERROR(SEARCH(("*-"),(G19))))</formula>
    </cfRule>
  </conditionalFormatting>
  <conditionalFormatting sqref="G19"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9">
    <cfRule type="containsText" dxfId="18" priority="5" operator="containsText" text="*-">
      <formula>NOT(ISERROR(SEARCH(("*-"),(H19))))</formula>
    </cfRule>
  </conditionalFormatting>
  <conditionalFormatting sqref="H19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20">
    <cfRule type="containsText" dxfId="17" priority="3" operator="containsText" text="*-">
      <formula>NOT(ISERROR(SEARCH(("*-"),(G20))))</formula>
    </cfRule>
  </conditionalFormatting>
  <conditionalFormatting sqref="G20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0">
    <cfRule type="containsText" dxfId="16" priority="1" operator="containsText" text="*-">
      <formula>NOT(ISERROR(SEARCH(("*-"),(H20))))</formula>
    </cfRule>
  </conditionalFormatting>
  <conditionalFormatting sqref="H20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0"/>
  <sheetViews>
    <sheetView workbookViewId="0">
      <pane xSplit="9" ySplit="2" topLeftCell="J3" activePane="bottomRight" state="frozen"/>
      <selection pane="topRight" activeCell="H1" sqref="H1"/>
      <selection pane="bottomLeft" activeCell="A3" sqref="A3"/>
      <selection pane="bottomRight" activeCell="A19" sqref="A19:I20"/>
    </sheetView>
  </sheetViews>
  <sheetFormatPr defaultRowHeight="15" customHeight="1" x14ac:dyDescent="0.35"/>
  <cols>
    <col min="1" max="1" width="5.6328125" style="4" customWidth="1"/>
    <col min="2" max="2" width="50.6328125" style="4" customWidth="1"/>
    <col min="3" max="4" width="33.6328125" style="4" customWidth="1"/>
    <col min="5" max="6" width="12.6328125" style="4" customWidth="1"/>
    <col min="7" max="8" width="3.6328125" style="4" customWidth="1"/>
    <col min="9" max="9" width="12.6328125" style="4" customWidth="1"/>
  </cols>
  <sheetData>
    <row r="1" spans="1:9" ht="15" customHeight="1" x14ac:dyDescent="0.35">
      <c r="A1" s="24" t="s">
        <v>1</v>
      </c>
      <c r="B1" s="23"/>
      <c r="C1" s="26" t="s">
        <v>2</v>
      </c>
      <c r="D1" s="27"/>
      <c r="E1" s="28" t="s">
        <v>3</v>
      </c>
      <c r="F1" s="29"/>
      <c r="G1" s="30" t="s">
        <v>8</v>
      </c>
      <c r="H1" s="31"/>
      <c r="I1" s="2"/>
    </row>
    <row r="2" spans="1:9" ht="15" customHeight="1" x14ac:dyDescent="0.35">
      <c r="A2" s="25"/>
      <c r="B2" s="23" t="s">
        <v>85</v>
      </c>
      <c r="C2" s="5" t="s">
        <v>86</v>
      </c>
      <c r="D2" s="5" t="s">
        <v>88</v>
      </c>
      <c r="E2" s="7" t="s">
        <v>26</v>
      </c>
      <c r="F2" s="7" t="s">
        <v>58</v>
      </c>
      <c r="G2" s="18" t="s">
        <v>26</v>
      </c>
      <c r="H2" s="18" t="s">
        <v>58</v>
      </c>
      <c r="I2" s="2"/>
    </row>
    <row r="3" spans="1:9" ht="15" customHeight="1" x14ac:dyDescent="0.35">
      <c r="A3" s="8">
        <v>2008</v>
      </c>
      <c r="B3" s="7" t="s">
        <v>56</v>
      </c>
      <c r="C3" s="21" t="s">
        <v>53</v>
      </c>
      <c r="D3" s="10" t="s">
        <v>54</v>
      </c>
      <c r="E3" s="6" t="s">
        <v>0</v>
      </c>
      <c r="F3" s="11" t="s">
        <v>46</v>
      </c>
      <c r="G3" s="19" t="s">
        <v>0</v>
      </c>
      <c r="H3" s="19">
        <v>1</v>
      </c>
      <c r="I3" s="3" t="str">
        <f>IF(OR(AND(G3&gt;1,G3&lt;&gt;"-"),AND(H3&gt;1,H3&lt;&gt;"-")),"Can exchange","")</f>
        <v/>
      </c>
    </row>
    <row r="4" spans="1:9" ht="15" customHeight="1" x14ac:dyDescent="0.35">
      <c r="A4" s="8">
        <v>2009</v>
      </c>
      <c r="B4" s="7" t="s">
        <v>56</v>
      </c>
      <c r="C4" s="21" t="s">
        <v>53</v>
      </c>
      <c r="D4" s="10" t="s">
        <v>54</v>
      </c>
      <c r="E4" s="6" t="s">
        <v>0</v>
      </c>
      <c r="F4" s="11" t="s">
        <v>38</v>
      </c>
      <c r="G4" s="19" t="s">
        <v>0</v>
      </c>
      <c r="H4" s="19">
        <v>0</v>
      </c>
      <c r="I4" s="3" t="str">
        <f t="shared" ref="I4:I15" si="0">IF(OR(AND(G4&gt;1,G4&lt;&gt;"-"),AND(H4&gt;1,H4&lt;&gt;"-")),"Can exchange","")</f>
        <v/>
      </c>
    </row>
    <row r="5" spans="1:9" ht="15" customHeight="1" x14ac:dyDescent="0.35">
      <c r="A5" s="8">
        <v>2010</v>
      </c>
      <c r="B5" s="7" t="s">
        <v>56</v>
      </c>
      <c r="C5" s="21" t="s">
        <v>53</v>
      </c>
      <c r="D5" s="10" t="s">
        <v>54</v>
      </c>
      <c r="E5" s="11" t="s">
        <v>29</v>
      </c>
      <c r="F5" s="6" t="s">
        <v>0</v>
      </c>
      <c r="G5" s="19">
        <v>0</v>
      </c>
      <c r="H5" s="19" t="s">
        <v>0</v>
      </c>
      <c r="I5" s="3" t="str">
        <f t="shared" si="0"/>
        <v/>
      </c>
    </row>
    <row r="6" spans="1:9" ht="15" customHeight="1" x14ac:dyDescent="0.35">
      <c r="A6" s="8">
        <v>2011</v>
      </c>
      <c r="B6" s="7" t="s">
        <v>56</v>
      </c>
      <c r="C6" s="21" t="s">
        <v>53</v>
      </c>
      <c r="D6" s="10" t="s">
        <v>54</v>
      </c>
      <c r="E6" s="11" t="s">
        <v>31</v>
      </c>
      <c r="F6" s="6" t="s">
        <v>0</v>
      </c>
      <c r="G6" s="19">
        <v>0</v>
      </c>
      <c r="H6" s="19" t="s">
        <v>0</v>
      </c>
      <c r="I6" s="3" t="str">
        <f t="shared" si="0"/>
        <v/>
      </c>
    </row>
    <row r="7" spans="1:9" ht="15" customHeight="1" x14ac:dyDescent="0.35">
      <c r="A7" s="8">
        <v>2012</v>
      </c>
      <c r="B7" s="7" t="s">
        <v>56</v>
      </c>
      <c r="C7" s="21" t="s">
        <v>53</v>
      </c>
      <c r="D7" s="10" t="s">
        <v>54</v>
      </c>
      <c r="E7" s="11" t="s">
        <v>38</v>
      </c>
      <c r="F7" s="6" t="s">
        <v>0</v>
      </c>
      <c r="G7" s="19">
        <v>0</v>
      </c>
      <c r="H7" s="19" t="s">
        <v>0</v>
      </c>
      <c r="I7" s="3" t="str">
        <f t="shared" si="0"/>
        <v/>
      </c>
    </row>
    <row r="8" spans="1:9" ht="15" customHeight="1" x14ac:dyDescent="0.35">
      <c r="A8" s="8">
        <v>2013</v>
      </c>
      <c r="B8" s="7" t="s">
        <v>56</v>
      </c>
      <c r="C8" s="21" t="s">
        <v>53</v>
      </c>
      <c r="D8" s="10" t="s">
        <v>54</v>
      </c>
      <c r="E8" s="11" t="s">
        <v>32</v>
      </c>
      <c r="F8" s="6" t="s">
        <v>0</v>
      </c>
      <c r="G8" s="19">
        <v>0</v>
      </c>
      <c r="H8" s="19" t="s">
        <v>0</v>
      </c>
      <c r="I8" s="3" t="str">
        <f t="shared" si="0"/>
        <v/>
      </c>
    </row>
    <row r="9" spans="1:9" ht="15" customHeight="1" x14ac:dyDescent="0.35">
      <c r="A9" s="8">
        <v>2014</v>
      </c>
      <c r="B9" s="7" t="s">
        <v>56</v>
      </c>
      <c r="C9" s="21" t="s">
        <v>53</v>
      </c>
      <c r="D9" s="10" t="s">
        <v>54</v>
      </c>
      <c r="E9" s="11" t="s">
        <v>32</v>
      </c>
      <c r="F9" s="6" t="s">
        <v>0</v>
      </c>
      <c r="G9" s="19">
        <v>0</v>
      </c>
      <c r="H9" s="19" t="s">
        <v>0</v>
      </c>
      <c r="I9" s="3" t="str">
        <f t="shared" si="0"/>
        <v/>
      </c>
    </row>
    <row r="10" spans="1:9" ht="15" customHeight="1" x14ac:dyDescent="0.35">
      <c r="A10" s="8">
        <v>2015</v>
      </c>
      <c r="B10" s="7" t="s">
        <v>56</v>
      </c>
      <c r="C10" s="21" t="s">
        <v>53</v>
      </c>
      <c r="D10" s="10" t="s">
        <v>54</v>
      </c>
      <c r="E10" s="11" t="s">
        <v>32</v>
      </c>
      <c r="F10" s="6" t="s">
        <v>0</v>
      </c>
      <c r="G10" s="19">
        <v>0</v>
      </c>
      <c r="H10" s="19" t="s">
        <v>0</v>
      </c>
      <c r="I10" s="3" t="str">
        <f t="shared" si="0"/>
        <v/>
      </c>
    </row>
    <row r="11" spans="1:9" ht="15" customHeight="1" x14ac:dyDescent="0.35">
      <c r="A11" s="8">
        <v>2016</v>
      </c>
      <c r="B11" s="7" t="s">
        <v>56</v>
      </c>
      <c r="C11" s="21" t="s">
        <v>53</v>
      </c>
      <c r="D11" s="10" t="s">
        <v>54</v>
      </c>
      <c r="E11" s="11" t="s">
        <v>32</v>
      </c>
      <c r="F11" s="6" t="s">
        <v>0</v>
      </c>
      <c r="G11" s="19">
        <v>0</v>
      </c>
      <c r="H11" s="19" t="s">
        <v>0</v>
      </c>
      <c r="I11" s="3" t="str">
        <f t="shared" si="0"/>
        <v/>
      </c>
    </row>
    <row r="12" spans="1:9" ht="15" customHeight="1" x14ac:dyDescent="0.35">
      <c r="A12" s="8">
        <v>2017</v>
      </c>
      <c r="B12" s="7" t="s">
        <v>56</v>
      </c>
      <c r="C12" s="21" t="s">
        <v>53</v>
      </c>
      <c r="D12" s="10" t="s">
        <v>54</v>
      </c>
      <c r="E12" s="11" t="s">
        <v>32</v>
      </c>
      <c r="F12" s="6" t="s">
        <v>0</v>
      </c>
      <c r="G12" s="19">
        <v>0</v>
      </c>
      <c r="H12" s="19" t="s">
        <v>0</v>
      </c>
      <c r="I12" s="3" t="str">
        <f t="shared" si="0"/>
        <v/>
      </c>
    </row>
    <row r="13" spans="1:9" ht="15" customHeight="1" x14ac:dyDescent="0.35">
      <c r="A13" s="8">
        <v>2018</v>
      </c>
      <c r="B13" s="7" t="s">
        <v>56</v>
      </c>
      <c r="C13" s="21" t="s">
        <v>53</v>
      </c>
      <c r="D13" s="10" t="s">
        <v>54</v>
      </c>
      <c r="E13" s="11" t="s">
        <v>32</v>
      </c>
      <c r="F13" s="6" t="s">
        <v>0</v>
      </c>
      <c r="G13" s="19">
        <v>0</v>
      </c>
      <c r="H13" s="19" t="s">
        <v>0</v>
      </c>
      <c r="I13" s="3" t="str">
        <f t="shared" si="0"/>
        <v/>
      </c>
    </row>
    <row r="14" spans="1:9" ht="15" customHeight="1" x14ac:dyDescent="0.35">
      <c r="A14" s="8">
        <v>2019</v>
      </c>
      <c r="B14" s="7" t="s">
        <v>56</v>
      </c>
      <c r="C14" s="21" t="s">
        <v>53</v>
      </c>
      <c r="D14" s="10" t="s">
        <v>54</v>
      </c>
      <c r="E14" s="11" t="s">
        <v>45</v>
      </c>
      <c r="F14" s="6" t="s">
        <v>0</v>
      </c>
      <c r="G14" s="19">
        <v>0</v>
      </c>
      <c r="H14" s="19" t="s">
        <v>0</v>
      </c>
      <c r="I14" s="3" t="str">
        <f t="shared" si="0"/>
        <v/>
      </c>
    </row>
    <row r="15" spans="1:9" ht="15" customHeight="1" x14ac:dyDescent="0.35">
      <c r="A15" s="8">
        <v>2020</v>
      </c>
      <c r="B15" s="7" t="s">
        <v>56</v>
      </c>
      <c r="C15" s="21" t="s">
        <v>53</v>
      </c>
      <c r="D15" s="10" t="s">
        <v>54</v>
      </c>
      <c r="E15" s="11" t="s">
        <v>63</v>
      </c>
      <c r="F15" s="6" t="s">
        <v>0</v>
      </c>
      <c r="G15" s="19">
        <v>0</v>
      </c>
      <c r="H15" s="19" t="s">
        <v>0</v>
      </c>
      <c r="I15" s="3" t="str">
        <f t="shared" si="0"/>
        <v/>
      </c>
    </row>
    <row r="16" spans="1:9" ht="15" customHeight="1" x14ac:dyDescent="0.35">
      <c r="A16" s="8">
        <v>2021</v>
      </c>
      <c r="B16" s="7" t="s">
        <v>56</v>
      </c>
      <c r="C16" s="21" t="s">
        <v>53</v>
      </c>
      <c r="D16" s="10" t="s">
        <v>54</v>
      </c>
      <c r="E16" s="11" t="s">
        <v>71</v>
      </c>
      <c r="F16" s="6" t="s">
        <v>0</v>
      </c>
      <c r="G16" s="19">
        <v>0</v>
      </c>
      <c r="H16" s="19" t="s">
        <v>0</v>
      </c>
      <c r="I16" s="3" t="str">
        <f t="shared" ref="I16:I20" si="1">IF(OR(AND(G16&gt;1,G16&lt;&gt;"-"),AND(H16&gt;1,H16&lt;&gt;"-")),"Can exchange","")</f>
        <v/>
      </c>
    </row>
    <row r="17" spans="1:9" ht="15" customHeight="1" x14ac:dyDescent="0.35">
      <c r="A17" s="8">
        <v>2022</v>
      </c>
      <c r="B17" s="7" t="s">
        <v>56</v>
      </c>
      <c r="C17" s="21" t="s">
        <v>53</v>
      </c>
      <c r="D17" s="10" t="s">
        <v>54</v>
      </c>
      <c r="E17" s="11" t="s">
        <v>78</v>
      </c>
      <c r="F17" s="6" t="s">
        <v>0</v>
      </c>
      <c r="G17" s="19">
        <v>0</v>
      </c>
      <c r="H17" s="19" t="s">
        <v>0</v>
      </c>
      <c r="I17" s="3" t="str">
        <f t="shared" si="1"/>
        <v/>
      </c>
    </row>
    <row r="18" spans="1:9" ht="15" customHeight="1" x14ac:dyDescent="0.35">
      <c r="A18" s="8">
        <v>2023</v>
      </c>
      <c r="B18" s="7" t="s">
        <v>56</v>
      </c>
      <c r="C18" s="21" t="s">
        <v>53</v>
      </c>
      <c r="D18" s="10" t="s">
        <v>54</v>
      </c>
      <c r="E18" s="11" t="s">
        <v>83</v>
      </c>
      <c r="F18" s="6" t="s">
        <v>0</v>
      </c>
      <c r="G18" s="19">
        <v>0</v>
      </c>
      <c r="H18" s="19" t="s">
        <v>0</v>
      </c>
      <c r="I18" s="3" t="str">
        <f t="shared" si="1"/>
        <v/>
      </c>
    </row>
    <row r="19" spans="1:9" ht="15" customHeight="1" x14ac:dyDescent="0.35">
      <c r="A19" s="8">
        <v>2024</v>
      </c>
      <c r="B19" s="7" t="s">
        <v>56</v>
      </c>
      <c r="C19" s="21" t="s">
        <v>53</v>
      </c>
      <c r="D19" s="10" t="s">
        <v>54</v>
      </c>
      <c r="E19" s="11" t="s">
        <v>65</v>
      </c>
      <c r="F19" s="6" t="s">
        <v>0</v>
      </c>
      <c r="G19" s="19">
        <v>0</v>
      </c>
      <c r="H19" s="19" t="s">
        <v>0</v>
      </c>
      <c r="I19" s="3" t="str">
        <f t="shared" si="1"/>
        <v/>
      </c>
    </row>
    <row r="20" spans="1:9" ht="15" customHeight="1" x14ac:dyDescent="0.35">
      <c r="A20" s="8">
        <v>2025</v>
      </c>
      <c r="B20" s="6" t="s">
        <v>0</v>
      </c>
      <c r="C20" s="6" t="s">
        <v>0</v>
      </c>
      <c r="D20" s="6" t="s">
        <v>0</v>
      </c>
      <c r="E20" s="6" t="s">
        <v>0</v>
      </c>
      <c r="F20" s="6" t="s">
        <v>0</v>
      </c>
      <c r="G20" s="1" t="s">
        <v>0</v>
      </c>
      <c r="H20" s="1" t="s">
        <v>0</v>
      </c>
      <c r="I20" s="3" t="str">
        <f t="shared" si="1"/>
        <v/>
      </c>
    </row>
  </sheetData>
  <autoFilter ref="B2:F2" xr:uid="{00000000-0001-0000-0400-000000000000}"/>
  <mergeCells count="4">
    <mergeCell ref="A1:A2"/>
    <mergeCell ref="C1:D1"/>
    <mergeCell ref="E1:F1"/>
    <mergeCell ref="G1:H1"/>
  </mergeCells>
  <phoneticPr fontId="8" type="noConversion"/>
  <conditionalFormatting sqref="G3:G14 G16 G18">
    <cfRule type="containsText" dxfId="51" priority="15" operator="containsText" text="*-">
      <formula>NOT(ISERROR(SEARCH(("*-"),(G3))))</formula>
    </cfRule>
  </conditionalFormatting>
  <conditionalFormatting sqref="G3:G14 G16 G18">
    <cfRule type="colorScale" priority="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3:H14 H16 H18">
    <cfRule type="containsText" dxfId="50" priority="13" operator="containsText" text="*-">
      <formula>NOT(ISERROR(SEARCH(("*-"),(H3))))</formula>
    </cfRule>
  </conditionalFormatting>
  <conditionalFormatting sqref="H3:H14 H16 H18">
    <cfRule type="colorScale" priority="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5 G17">
    <cfRule type="containsText" dxfId="49" priority="11" operator="containsText" text="*-">
      <formula>NOT(ISERROR(SEARCH(("*-"),(G15))))</formula>
    </cfRule>
  </conditionalFormatting>
  <conditionalFormatting sqref="G15 G17">
    <cfRule type="colorScale" priority="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5 H17">
    <cfRule type="containsText" dxfId="48" priority="9" operator="containsText" text="*-">
      <formula>NOT(ISERROR(SEARCH(("*-"),(H15))))</formula>
    </cfRule>
  </conditionalFormatting>
  <conditionalFormatting sqref="H15 H17"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9">
    <cfRule type="containsText" dxfId="15" priority="7" operator="containsText" text="*-">
      <formula>NOT(ISERROR(SEARCH(("*-"),(G19))))</formula>
    </cfRule>
  </conditionalFormatting>
  <conditionalFormatting sqref="G19"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9">
    <cfRule type="containsText" dxfId="14" priority="5" operator="containsText" text="*-">
      <formula>NOT(ISERROR(SEARCH(("*-"),(H19))))</formula>
    </cfRule>
  </conditionalFormatting>
  <conditionalFormatting sqref="H19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20">
    <cfRule type="containsText" dxfId="13" priority="3" operator="containsText" text="*-">
      <formula>NOT(ISERROR(SEARCH(("*-"),(G20))))</formula>
    </cfRule>
  </conditionalFormatting>
  <conditionalFormatting sqref="G20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0">
    <cfRule type="containsText" dxfId="12" priority="1" operator="containsText" text="*-">
      <formula>NOT(ISERROR(SEARCH(("*-"),(H20))))</formula>
    </cfRule>
  </conditionalFormatting>
  <conditionalFormatting sqref="H20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0"/>
  <sheetViews>
    <sheetView workbookViewId="0">
      <pane xSplit="9" ySplit="2" topLeftCell="J3" activePane="bottomRight" state="frozen"/>
      <selection pane="topRight" activeCell="H1" sqref="H1"/>
      <selection pane="bottomLeft" activeCell="A3" sqref="A3"/>
      <selection pane="bottomRight" activeCell="A19" sqref="A19:I20"/>
    </sheetView>
  </sheetViews>
  <sheetFormatPr defaultRowHeight="15" customHeight="1" x14ac:dyDescent="0.35"/>
  <cols>
    <col min="1" max="1" width="5.6328125" style="4" customWidth="1"/>
    <col min="2" max="2" width="50.6328125" style="4" customWidth="1"/>
    <col min="3" max="4" width="33.6328125" style="4" customWidth="1"/>
    <col min="5" max="6" width="12.6328125" style="4" customWidth="1"/>
    <col min="7" max="8" width="3.6328125" style="4" customWidth="1"/>
    <col min="9" max="9" width="12.6328125" style="4" customWidth="1"/>
  </cols>
  <sheetData>
    <row r="1" spans="1:9" ht="15" customHeight="1" x14ac:dyDescent="0.35">
      <c r="A1" s="24" t="s">
        <v>1</v>
      </c>
      <c r="B1" s="23"/>
      <c r="C1" s="26" t="s">
        <v>2</v>
      </c>
      <c r="D1" s="27"/>
      <c r="E1" s="28" t="s">
        <v>3</v>
      </c>
      <c r="F1" s="29"/>
      <c r="G1" s="30" t="s">
        <v>9</v>
      </c>
      <c r="H1" s="31"/>
      <c r="I1" s="2"/>
    </row>
    <row r="2" spans="1:9" ht="15" customHeight="1" x14ac:dyDescent="0.35">
      <c r="A2" s="25"/>
      <c r="B2" s="23" t="s">
        <v>85</v>
      </c>
      <c r="C2" s="5" t="s">
        <v>86</v>
      </c>
      <c r="D2" s="5" t="s">
        <v>88</v>
      </c>
      <c r="E2" s="7" t="s">
        <v>26</v>
      </c>
      <c r="F2" s="7" t="s">
        <v>58</v>
      </c>
      <c r="G2" s="18" t="s">
        <v>26</v>
      </c>
      <c r="H2" s="18" t="s">
        <v>58</v>
      </c>
      <c r="I2" s="2"/>
    </row>
    <row r="3" spans="1:9" ht="15" customHeight="1" x14ac:dyDescent="0.35">
      <c r="A3" s="8">
        <v>2008</v>
      </c>
      <c r="B3" s="7" t="s">
        <v>56</v>
      </c>
      <c r="C3" s="21" t="s">
        <v>53</v>
      </c>
      <c r="D3" s="10" t="s">
        <v>54</v>
      </c>
      <c r="E3" s="6" t="s">
        <v>0</v>
      </c>
      <c r="F3" s="11" t="s">
        <v>48</v>
      </c>
      <c r="G3" s="19" t="s">
        <v>0</v>
      </c>
      <c r="H3" s="19">
        <v>0</v>
      </c>
      <c r="I3" s="3" t="str">
        <f>IF(OR(AND(G3&gt;1,G3&lt;&gt;"-"),AND(H3&gt;1,H3&lt;&gt;"-")),"Can exchange","")</f>
        <v/>
      </c>
    </row>
    <row r="4" spans="1:9" ht="15" customHeight="1" x14ac:dyDescent="0.35">
      <c r="A4" s="8">
        <v>2009</v>
      </c>
      <c r="B4" s="7" t="s">
        <v>56</v>
      </c>
      <c r="C4" s="21" t="s">
        <v>53</v>
      </c>
      <c r="D4" s="10" t="s">
        <v>54</v>
      </c>
      <c r="E4" s="6" t="s">
        <v>0</v>
      </c>
      <c r="F4" s="11" t="s">
        <v>38</v>
      </c>
      <c r="G4" s="19" t="s">
        <v>0</v>
      </c>
      <c r="H4" s="19">
        <v>0</v>
      </c>
      <c r="I4" s="3" t="str">
        <f t="shared" ref="I4:I15" si="0">IF(OR(AND(G4&gt;1,G4&lt;&gt;"-"),AND(H4&gt;1,H4&lt;&gt;"-")),"Can exchange","")</f>
        <v/>
      </c>
    </row>
    <row r="5" spans="1:9" ht="15" customHeight="1" x14ac:dyDescent="0.35">
      <c r="A5" s="8">
        <v>2010</v>
      </c>
      <c r="B5" s="7" t="s">
        <v>56</v>
      </c>
      <c r="C5" s="21" t="s">
        <v>53</v>
      </c>
      <c r="D5" s="10" t="s">
        <v>54</v>
      </c>
      <c r="E5" s="11" t="s">
        <v>29</v>
      </c>
      <c r="F5" s="6" t="s">
        <v>0</v>
      </c>
      <c r="G5" s="19">
        <v>0</v>
      </c>
      <c r="H5" s="19" t="s">
        <v>0</v>
      </c>
      <c r="I5" s="3" t="str">
        <f t="shared" si="0"/>
        <v/>
      </c>
    </row>
    <row r="6" spans="1:9" ht="15" customHeight="1" x14ac:dyDescent="0.35">
      <c r="A6" s="8">
        <v>2011</v>
      </c>
      <c r="B6" s="7" t="s">
        <v>56</v>
      </c>
      <c r="C6" s="21" t="s">
        <v>53</v>
      </c>
      <c r="D6" s="10" t="s">
        <v>54</v>
      </c>
      <c r="E6" s="11" t="s">
        <v>31</v>
      </c>
      <c r="F6" s="6" t="s">
        <v>0</v>
      </c>
      <c r="G6" s="19">
        <v>0</v>
      </c>
      <c r="H6" s="19" t="s">
        <v>0</v>
      </c>
      <c r="I6" s="3" t="str">
        <f t="shared" si="0"/>
        <v/>
      </c>
    </row>
    <row r="7" spans="1:9" ht="15" customHeight="1" x14ac:dyDescent="0.35">
      <c r="A7" s="8">
        <v>2012</v>
      </c>
      <c r="B7" s="7" t="s">
        <v>56</v>
      </c>
      <c r="C7" s="21" t="s">
        <v>53</v>
      </c>
      <c r="D7" s="10" t="s">
        <v>54</v>
      </c>
      <c r="E7" s="11" t="s">
        <v>38</v>
      </c>
      <c r="F7" s="6" t="s">
        <v>0</v>
      </c>
      <c r="G7" s="19">
        <v>0</v>
      </c>
      <c r="H7" s="19" t="s">
        <v>0</v>
      </c>
      <c r="I7" s="3" t="str">
        <f t="shared" si="0"/>
        <v/>
      </c>
    </row>
    <row r="8" spans="1:9" ht="15" customHeight="1" x14ac:dyDescent="0.35">
      <c r="A8" s="8">
        <v>2013</v>
      </c>
      <c r="B8" s="7" t="s">
        <v>56</v>
      </c>
      <c r="C8" s="21" t="s">
        <v>53</v>
      </c>
      <c r="D8" s="10" t="s">
        <v>54</v>
      </c>
      <c r="E8" s="11" t="s">
        <v>32</v>
      </c>
      <c r="F8" s="6" t="s">
        <v>0</v>
      </c>
      <c r="G8" s="19">
        <v>0</v>
      </c>
      <c r="H8" s="19" t="s">
        <v>0</v>
      </c>
      <c r="I8" s="3" t="str">
        <f t="shared" si="0"/>
        <v/>
      </c>
    </row>
    <row r="9" spans="1:9" ht="15" customHeight="1" x14ac:dyDescent="0.35">
      <c r="A9" s="8">
        <v>2014</v>
      </c>
      <c r="B9" s="7" t="s">
        <v>56</v>
      </c>
      <c r="C9" s="21" t="s">
        <v>53</v>
      </c>
      <c r="D9" s="10" t="s">
        <v>54</v>
      </c>
      <c r="E9" s="11" t="s">
        <v>32</v>
      </c>
      <c r="F9" s="6" t="s">
        <v>0</v>
      </c>
      <c r="G9" s="19">
        <v>0</v>
      </c>
      <c r="H9" s="19" t="s">
        <v>0</v>
      </c>
      <c r="I9" s="3" t="str">
        <f t="shared" si="0"/>
        <v/>
      </c>
    </row>
    <row r="10" spans="1:9" ht="15" customHeight="1" x14ac:dyDescent="0.35">
      <c r="A10" s="8">
        <v>2015</v>
      </c>
      <c r="B10" s="7" t="s">
        <v>56</v>
      </c>
      <c r="C10" s="21" t="s">
        <v>53</v>
      </c>
      <c r="D10" s="10" t="s">
        <v>54</v>
      </c>
      <c r="E10" s="11" t="s">
        <v>32</v>
      </c>
      <c r="F10" s="6" t="s">
        <v>0</v>
      </c>
      <c r="G10" s="19">
        <v>0</v>
      </c>
      <c r="H10" s="19" t="s">
        <v>0</v>
      </c>
      <c r="I10" s="3" t="str">
        <f t="shared" si="0"/>
        <v/>
      </c>
    </row>
    <row r="11" spans="1:9" ht="15" customHeight="1" x14ac:dyDescent="0.35">
      <c r="A11" s="8">
        <v>2016</v>
      </c>
      <c r="B11" s="7" t="s">
        <v>56</v>
      </c>
      <c r="C11" s="21" t="s">
        <v>53</v>
      </c>
      <c r="D11" s="10" t="s">
        <v>54</v>
      </c>
      <c r="E11" s="11" t="s">
        <v>32</v>
      </c>
      <c r="F11" s="6" t="s">
        <v>0</v>
      </c>
      <c r="G11" s="19">
        <v>0</v>
      </c>
      <c r="H11" s="19" t="s">
        <v>0</v>
      </c>
      <c r="I11" s="3" t="str">
        <f t="shared" si="0"/>
        <v/>
      </c>
    </row>
    <row r="12" spans="1:9" ht="15" customHeight="1" x14ac:dyDescent="0.35">
      <c r="A12" s="8">
        <v>2017</v>
      </c>
      <c r="B12" s="7" t="s">
        <v>56</v>
      </c>
      <c r="C12" s="21" t="s">
        <v>53</v>
      </c>
      <c r="D12" s="10" t="s">
        <v>54</v>
      </c>
      <c r="E12" s="11" t="s">
        <v>32</v>
      </c>
      <c r="F12" s="6" t="s">
        <v>0</v>
      </c>
      <c r="G12" s="19">
        <v>0</v>
      </c>
      <c r="H12" s="19" t="s">
        <v>0</v>
      </c>
      <c r="I12" s="3" t="str">
        <f t="shared" si="0"/>
        <v/>
      </c>
    </row>
    <row r="13" spans="1:9" ht="15" customHeight="1" x14ac:dyDescent="0.35">
      <c r="A13" s="8">
        <v>2018</v>
      </c>
      <c r="B13" s="7" t="s">
        <v>56</v>
      </c>
      <c r="C13" s="21" t="s">
        <v>53</v>
      </c>
      <c r="D13" s="10" t="s">
        <v>54</v>
      </c>
      <c r="E13" s="11" t="s">
        <v>32</v>
      </c>
      <c r="F13" s="6" t="s">
        <v>0</v>
      </c>
      <c r="G13" s="19">
        <v>0</v>
      </c>
      <c r="H13" s="19" t="s">
        <v>0</v>
      </c>
      <c r="I13" s="3" t="str">
        <f t="shared" si="0"/>
        <v/>
      </c>
    </row>
    <row r="14" spans="1:9" ht="15" customHeight="1" x14ac:dyDescent="0.35">
      <c r="A14" s="8">
        <v>2019</v>
      </c>
      <c r="B14" s="7" t="s">
        <v>56</v>
      </c>
      <c r="C14" s="21" t="s">
        <v>53</v>
      </c>
      <c r="D14" s="10" t="s">
        <v>54</v>
      </c>
      <c r="E14" s="11" t="s">
        <v>47</v>
      </c>
      <c r="F14" s="6" t="s">
        <v>0</v>
      </c>
      <c r="G14" s="19">
        <v>0</v>
      </c>
      <c r="H14" s="19" t="s">
        <v>0</v>
      </c>
      <c r="I14" s="3" t="str">
        <f t="shared" si="0"/>
        <v/>
      </c>
    </row>
    <row r="15" spans="1:9" ht="15" customHeight="1" x14ac:dyDescent="0.35">
      <c r="A15" s="8">
        <v>2020</v>
      </c>
      <c r="B15" s="7" t="s">
        <v>56</v>
      </c>
      <c r="C15" s="21" t="s">
        <v>53</v>
      </c>
      <c r="D15" s="10" t="s">
        <v>54</v>
      </c>
      <c r="E15" s="11" t="s">
        <v>64</v>
      </c>
      <c r="F15" s="6" t="s">
        <v>0</v>
      </c>
      <c r="G15" s="19">
        <v>0</v>
      </c>
      <c r="H15" s="19" t="s">
        <v>0</v>
      </c>
      <c r="I15" s="3" t="str">
        <f t="shared" si="0"/>
        <v/>
      </c>
    </row>
    <row r="16" spans="1:9" ht="15" customHeight="1" x14ac:dyDescent="0.35">
      <c r="A16" s="8">
        <v>2021</v>
      </c>
      <c r="B16" s="7" t="s">
        <v>56</v>
      </c>
      <c r="C16" s="21" t="s">
        <v>53</v>
      </c>
      <c r="D16" s="10" t="s">
        <v>54</v>
      </c>
      <c r="E16" s="11" t="s">
        <v>72</v>
      </c>
      <c r="F16" s="6" t="s">
        <v>0</v>
      </c>
      <c r="G16" s="19">
        <v>0</v>
      </c>
      <c r="H16" s="19" t="s">
        <v>0</v>
      </c>
      <c r="I16" s="3" t="str">
        <f t="shared" ref="I16:I20" si="1">IF(OR(AND(G16&gt;1,G16&lt;&gt;"-"),AND(H16&gt;1,H16&lt;&gt;"-")),"Can exchange","")</f>
        <v/>
      </c>
    </row>
    <row r="17" spans="1:9" ht="15" customHeight="1" x14ac:dyDescent="0.35">
      <c r="A17" s="8">
        <v>2022</v>
      </c>
      <c r="B17" s="7" t="s">
        <v>56</v>
      </c>
      <c r="C17" s="21" t="s">
        <v>53</v>
      </c>
      <c r="D17" s="10" t="s">
        <v>54</v>
      </c>
      <c r="E17" s="11" t="s">
        <v>72</v>
      </c>
      <c r="F17" s="6" t="s">
        <v>0</v>
      </c>
      <c r="G17" s="19">
        <v>0</v>
      </c>
      <c r="H17" s="19" t="s">
        <v>0</v>
      </c>
      <c r="I17" s="3" t="str">
        <f t="shared" si="1"/>
        <v/>
      </c>
    </row>
    <row r="18" spans="1:9" ht="15" customHeight="1" x14ac:dyDescent="0.35">
      <c r="A18" s="8">
        <v>2023</v>
      </c>
      <c r="B18" s="7" t="s">
        <v>56</v>
      </c>
      <c r="C18" s="21" t="s">
        <v>53</v>
      </c>
      <c r="D18" s="10" t="s">
        <v>54</v>
      </c>
      <c r="E18" s="11" t="s">
        <v>65</v>
      </c>
      <c r="F18" s="6" t="s">
        <v>0</v>
      </c>
      <c r="G18" s="19">
        <v>0</v>
      </c>
      <c r="H18" s="19" t="s">
        <v>0</v>
      </c>
      <c r="I18" s="3" t="str">
        <f t="shared" si="1"/>
        <v/>
      </c>
    </row>
    <row r="19" spans="1:9" ht="15" customHeight="1" x14ac:dyDescent="0.35">
      <c r="A19" s="8">
        <v>2024</v>
      </c>
      <c r="B19" s="7" t="s">
        <v>56</v>
      </c>
      <c r="C19" s="21" t="s">
        <v>53</v>
      </c>
      <c r="D19" s="10" t="s">
        <v>54</v>
      </c>
      <c r="E19" s="11" t="s">
        <v>65</v>
      </c>
      <c r="F19" s="6" t="s">
        <v>0</v>
      </c>
      <c r="G19" s="19">
        <v>0</v>
      </c>
      <c r="H19" s="19" t="s">
        <v>0</v>
      </c>
      <c r="I19" s="3" t="str">
        <f t="shared" si="1"/>
        <v/>
      </c>
    </row>
    <row r="20" spans="1:9" ht="15" customHeight="1" x14ac:dyDescent="0.35">
      <c r="A20" s="8">
        <v>2025</v>
      </c>
      <c r="B20" s="6" t="s">
        <v>0</v>
      </c>
      <c r="C20" s="6" t="s">
        <v>0</v>
      </c>
      <c r="D20" s="6" t="s">
        <v>0</v>
      </c>
      <c r="E20" s="6" t="s">
        <v>0</v>
      </c>
      <c r="F20" s="6" t="s">
        <v>0</v>
      </c>
      <c r="G20" s="1" t="s">
        <v>0</v>
      </c>
      <c r="H20" s="1" t="s">
        <v>0</v>
      </c>
      <c r="I20" s="3" t="str">
        <f t="shared" si="1"/>
        <v/>
      </c>
    </row>
  </sheetData>
  <autoFilter ref="B2:F2" xr:uid="{00000000-0001-0000-0500-000000000000}"/>
  <mergeCells count="4">
    <mergeCell ref="A1:A2"/>
    <mergeCell ref="C1:D1"/>
    <mergeCell ref="E1:F1"/>
    <mergeCell ref="G1:H1"/>
  </mergeCells>
  <phoneticPr fontId="8" type="noConversion"/>
  <conditionalFormatting sqref="G3:G14 G16 G18">
    <cfRule type="containsText" dxfId="47" priority="15" operator="containsText" text="*-">
      <formula>NOT(ISERROR(SEARCH(("*-"),(G3))))</formula>
    </cfRule>
  </conditionalFormatting>
  <conditionalFormatting sqref="G3:G14 G16 G18">
    <cfRule type="colorScale" priority="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3:H14 H16 H18">
    <cfRule type="containsText" dxfId="46" priority="13" operator="containsText" text="*-">
      <formula>NOT(ISERROR(SEARCH(("*-"),(H3))))</formula>
    </cfRule>
  </conditionalFormatting>
  <conditionalFormatting sqref="H3:H14 H16 H18">
    <cfRule type="colorScale" priority="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5 G17">
    <cfRule type="containsText" dxfId="45" priority="11" operator="containsText" text="*-">
      <formula>NOT(ISERROR(SEARCH(("*-"),(G15))))</formula>
    </cfRule>
  </conditionalFormatting>
  <conditionalFormatting sqref="G15 G17">
    <cfRule type="colorScale" priority="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5 H17">
    <cfRule type="containsText" dxfId="44" priority="9" operator="containsText" text="*-">
      <formula>NOT(ISERROR(SEARCH(("*-"),(H15))))</formula>
    </cfRule>
  </conditionalFormatting>
  <conditionalFormatting sqref="H15 H17"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9">
    <cfRule type="containsText" dxfId="11" priority="7" operator="containsText" text="*-">
      <formula>NOT(ISERROR(SEARCH(("*-"),(G19))))</formula>
    </cfRule>
  </conditionalFormatting>
  <conditionalFormatting sqref="G19"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9">
    <cfRule type="containsText" dxfId="10" priority="5" operator="containsText" text="*-">
      <formula>NOT(ISERROR(SEARCH(("*-"),(H19))))</formula>
    </cfRule>
  </conditionalFormatting>
  <conditionalFormatting sqref="H19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20">
    <cfRule type="containsText" dxfId="9" priority="3" operator="containsText" text="*-">
      <formula>NOT(ISERROR(SEARCH(("*-"),(G20))))</formula>
    </cfRule>
  </conditionalFormatting>
  <conditionalFormatting sqref="G20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0">
    <cfRule type="containsText" dxfId="8" priority="1" operator="containsText" text="*-">
      <formula>NOT(ISERROR(SEARCH(("*-"),(H20))))</formula>
    </cfRule>
  </conditionalFormatting>
  <conditionalFormatting sqref="H20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0"/>
  <sheetViews>
    <sheetView workbookViewId="0">
      <pane xSplit="9" ySplit="2" topLeftCell="J3" activePane="bottomRight" state="frozen"/>
      <selection pane="topRight" activeCell="H1" sqref="H1"/>
      <selection pane="bottomLeft" activeCell="A3" sqref="A3"/>
      <selection pane="bottomRight" activeCell="A19" sqref="A19:I20"/>
    </sheetView>
  </sheetViews>
  <sheetFormatPr defaultRowHeight="15" customHeight="1" x14ac:dyDescent="0.35"/>
  <cols>
    <col min="1" max="1" width="5.6328125" style="4" customWidth="1"/>
    <col min="2" max="2" width="50.6328125" style="4" customWidth="1"/>
    <col min="3" max="4" width="33.6328125" style="4" customWidth="1"/>
    <col min="5" max="6" width="12.6328125" style="4" customWidth="1"/>
    <col min="7" max="8" width="3.6328125" style="4" customWidth="1"/>
    <col min="9" max="9" width="12.6328125" style="4" customWidth="1"/>
  </cols>
  <sheetData>
    <row r="1" spans="1:9" ht="15" customHeight="1" x14ac:dyDescent="0.35">
      <c r="A1" s="24" t="s">
        <v>1</v>
      </c>
      <c r="B1" s="23"/>
      <c r="C1" s="26" t="s">
        <v>2</v>
      </c>
      <c r="D1" s="27"/>
      <c r="E1" s="28" t="s">
        <v>3</v>
      </c>
      <c r="F1" s="29"/>
      <c r="G1" s="38" t="s">
        <v>10</v>
      </c>
      <c r="H1" s="39"/>
      <c r="I1" s="2"/>
    </row>
    <row r="2" spans="1:9" ht="15" customHeight="1" x14ac:dyDescent="0.35">
      <c r="A2" s="25"/>
      <c r="B2" s="23" t="s">
        <v>85</v>
      </c>
      <c r="C2" s="5" t="s">
        <v>86</v>
      </c>
      <c r="D2" s="5" t="s">
        <v>88</v>
      </c>
      <c r="E2" s="7" t="s">
        <v>26</v>
      </c>
      <c r="F2" s="7" t="s">
        <v>58</v>
      </c>
      <c r="G2" s="18" t="s">
        <v>26</v>
      </c>
      <c r="H2" s="18" t="s">
        <v>58</v>
      </c>
      <c r="I2" s="2"/>
    </row>
    <row r="3" spans="1:9" ht="15" customHeight="1" x14ac:dyDescent="0.35">
      <c r="A3" s="8">
        <v>2008</v>
      </c>
      <c r="B3" s="9" t="s">
        <v>57</v>
      </c>
      <c r="C3" s="21" t="s">
        <v>53</v>
      </c>
      <c r="D3" s="10" t="s">
        <v>54</v>
      </c>
      <c r="E3" s="6" t="s">
        <v>0</v>
      </c>
      <c r="F3" s="11" t="s">
        <v>49</v>
      </c>
      <c r="G3" s="19" t="s">
        <v>0</v>
      </c>
      <c r="H3" s="19">
        <v>2</v>
      </c>
      <c r="I3" s="3" t="str">
        <f>IF(OR(AND(G3&gt;1,G3&lt;&gt;"-"),AND(H3&gt;1,H3&lt;&gt;"-")),"Can exchange","")</f>
        <v>Can exchange</v>
      </c>
    </row>
    <row r="4" spans="1:9" ht="15" customHeight="1" x14ac:dyDescent="0.35">
      <c r="A4" s="8">
        <v>2009</v>
      </c>
      <c r="B4" s="9" t="s">
        <v>57</v>
      </c>
      <c r="C4" s="21" t="s">
        <v>53</v>
      </c>
      <c r="D4" s="10" t="s">
        <v>54</v>
      </c>
      <c r="E4" s="6" t="s">
        <v>0</v>
      </c>
      <c r="F4" s="11" t="s">
        <v>50</v>
      </c>
      <c r="G4" s="19" t="s">
        <v>0</v>
      </c>
      <c r="H4" s="19">
        <v>0</v>
      </c>
      <c r="I4" s="3" t="str">
        <f t="shared" ref="I4:I15" si="0">IF(OR(AND(G4&gt;1,G4&lt;&gt;"-"),AND(H4&gt;1,H4&lt;&gt;"-")),"Can exchange","")</f>
        <v/>
      </c>
    </row>
    <row r="5" spans="1:9" ht="15" customHeight="1" x14ac:dyDescent="0.35">
      <c r="A5" s="8">
        <v>2010</v>
      </c>
      <c r="B5" s="9" t="s">
        <v>57</v>
      </c>
      <c r="C5" s="21" t="s">
        <v>53</v>
      </c>
      <c r="D5" s="10" t="s">
        <v>54</v>
      </c>
      <c r="E5" s="11" t="s">
        <v>29</v>
      </c>
      <c r="F5" s="6" t="s">
        <v>0</v>
      </c>
      <c r="G5" s="19">
        <v>0</v>
      </c>
      <c r="H5" s="19" t="s">
        <v>0</v>
      </c>
      <c r="I5" s="3" t="str">
        <f t="shared" si="0"/>
        <v/>
      </c>
    </row>
    <row r="6" spans="1:9" ht="15" customHeight="1" x14ac:dyDescent="0.35">
      <c r="A6" s="8">
        <v>2011</v>
      </c>
      <c r="B6" s="9" t="s">
        <v>57</v>
      </c>
      <c r="C6" s="21" t="s">
        <v>53</v>
      </c>
      <c r="D6" s="10" t="s">
        <v>54</v>
      </c>
      <c r="E6" s="11" t="s">
        <v>31</v>
      </c>
      <c r="F6" s="6" t="s">
        <v>0</v>
      </c>
      <c r="G6" s="19">
        <v>0</v>
      </c>
      <c r="H6" s="19" t="s">
        <v>0</v>
      </c>
      <c r="I6" s="3" t="str">
        <f t="shared" si="0"/>
        <v/>
      </c>
    </row>
    <row r="7" spans="1:9" ht="15" customHeight="1" x14ac:dyDescent="0.35">
      <c r="A7" s="8">
        <v>2012</v>
      </c>
      <c r="B7" s="9" t="s">
        <v>57</v>
      </c>
      <c r="C7" s="21" t="s">
        <v>53</v>
      </c>
      <c r="D7" s="10" t="s">
        <v>54</v>
      </c>
      <c r="E7" s="11" t="s">
        <v>38</v>
      </c>
      <c r="F7" s="6" t="s">
        <v>0</v>
      </c>
      <c r="G7" s="19">
        <v>0</v>
      </c>
      <c r="H7" s="19" t="s">
        <v>0</v>
      </c>
      <c r="I7" s="3" t="str">
        <f t="shared" si="0"/>
        <v/>
      </c>
    </row>
    <row r="8" spans="1:9" ht="15" customHeight="1" x14ac:dyDescent="0.35">
      <c r="A8" s="8">
        <v>2013</v>
      </c>
      <c r="B8" s="9" t="s">
        <v>57</v>
      </c>
      <c r="C8" s="21" t="s">
        <v>53</v>
      </c>
      <c r="D8" s="10" t="s">
        <v>54</v>
      </c>
      <c r="E8" s="11" t="s">
        <v>32</v>
      </c>
      <c r="F8" s="6" t="s">
        <v>0</v>
      </c>
      <c r="G8" s="19">
        <v>0</v>
      </c>
      <c r="H8" s="19" t="s">
        <v>0</v>
      </c>
      <c r="I8" s="3" t="str">
        <f t="shared" si="0"/>
        <v/>
      </c>
    </row>
    <row r="9" spans="1:9" ht="15" customHeight="1" x14ac:dyDescent="0.35">
      <c r="A9" s="8">
        <v>2014</v>
      </c>
      <c r="B9" s="9" t="s">
        <v>57</v>
      </c>
      <c r="C9" s="21" t="s">
        <v>53</v>
      </c>
      <c r="D9" s="10" t="s">
        <v>54</v>
      </c>
      <c r="E9" s="11" t="s">
        <v>32</v>
      </c>
      <c r="F9" s="6" t="s">
        <v>0</v>
      </c>
      <c r="G9" s="19">
        <v>0</v>
      </c>
      <c r="H9" s="19" t="s">
        <v>0</v>
      </c>
      <c r="I9" s="3" t="str">
        <f t="shared" si="0"/>
        <v/>
      </c>
    </row>
    <row r="10" spans="1:9" ht="15" customHeight="1" x14ac:dyDescent="0.35">
      <c r="A10" s="8">
        <v>2015</v>
      </c>
      <c r="B10" s="9" t="s">
        <v>57</v>
      </c>
      <c r="C10" s="21" t="s">
        <v>53</v>
      </c>
      <c r="D10" s="10" t="s">
        <v>54</v>
      </c>
      <c r="E10" s="11" t="s">
        <v>32</v>
      </c>
      <c r="F10" s="6" t="s">
        <v>0</v>
      </c>
      <c r="G10" s="19">
        <v>0</v>
      </c>
      <c r="H10" s="19" t="s">
        <v>0</v>
      </c>
      <c r="I10" s="3" t="str">
        <f t="shared" si="0"/>
        <v/>
      </c>
    </row>
    <row r="11" spans="1:9" ht="15" customHeight="1" x14ac:dyDescent="0.35">
      <c r="A11" s="8">
        <v>2016</v>
      </c>
      <c r="B11" s="9" t="s">
        <v>57</v>
      </c>
      <c r="C11" s="21" t="s">
        <v>53</v>
      </c>
      <c r="D11" s="10" t="s">
        <v>54</v>
      </c>
      <c r="E11" s="11" t="s">
        <v>32</v>
      </c>
      <c r="F11" s="6" t="s">
        <v>0</v>
      </c>
      <c r="G11" s="19">
        <v>0</v>
      </c>
      <c r="H11" s="19" t="s">
        <v>0</v>
      </c>
      <c r="I11" s="3" t="str">
        <f t="shared" si="0"/>
        <v/>
      </c>
    </row>
    <row r="12" spans="1:9" ht="15" customHeight="1" x14ac:dyDescent="0.35">
      <c r="A12" s="8">
        <v>2017</v>
      </c>
      <c r="B12" s="9" t="s">
        <v>57</v>
      </c>
      <c r="C12" s="21" t="s">
        <v>53</v>
      </c>
      <c r="D12" s="10" t="s">
        <v>54</v>
      </c>
      <c r="E12" s="11" t="s">
        <v>32</v>
      </c>
      <c r="F12" s="6" t="s">
        <v>0</v>
      </c>
      <c r="G12" s="19">
        <v>0</v>
      </c>
      <c r="H12" s="19" t="s">
        <v>0</v>
      </c>
      <c r="I12" s="3" t="str">
        <f t="shared" si="0"/>
        <v/>
      </c>
    </row>
    <row r="13" spans="1:9" ht="15" customHeight="1" x14ac:dyDescent="0.35">
      <c r="A13" s="8">
        <v>2018</v>
      </c>
      <c r="B13" s="9" t="s">
        <v>57</v>
      </c>
      <c r="C13" s="21" t="s">
        <v>53</v>
      </c>
      <c r="D13" s="10" t="s">
        <v>54</v>
      </c>
      <c r="E13" s="11" t="s">
        <v>32</v>
      </c>
      <c r="F13" s="6" t="s">
        <v>0</v>
      </c>
      <c r="G13" s="19">
        <v>0</v>
      </c>
      <c r="H13" s="19" t="s">
        <v>0</v>
      </c>
      <c r="I13" s="3" t="str">
        <f t="shared" si="0"/>
        <v/>
      </c>
    </row>
    <row r="14" spans="1:9" ht="15" customHeight="1" x14ac:dyDescent="0.35">
      <c r="A14" s="8">
        <v>2019</v>
      </c>
      <c r="B14" s="9" t="s">
        <v>57</v>
      </c>
      <c r="C14" s="21" t="s">
        <v>53</v>
      </c>
      <c r="D14" s="10" t="s">
        <v>54</v>
      </c>
      <c r="E14" s="11" t="s">
        <v>32</v>
      </c>
      <c r="F14" s="6" t="s">
        <v>0</v>
      </c>
      <c r="G14" s="19">
        <v>0</v>
      </c>
      <c r="H14" s="19" t="s">
        <v>0</v>
      </c>
      <c r="I14" s="3" t="str">
        <f t="shared" si="0"/>
        <v/>
      </c>
    </row>
    <row r="15" spans="1:9" ht="15" customHeight="1" x14ac:dyDescent="0.35">
      <c r="A15" s="8">
        <v>2020</v>
      </c>
      <c r="B15" s="9" t="s">
        <v>57</v>
      </c>
      <c r="C15" s="21" t="s">
        <v>53</v>
      </c>
      <c r="D15" s="10" t="s">
        <v>54</v>
      </c>
      <c r="E15" s="11" t="s">
        <v>65</v>
      </c>
      <c r="F15" s="6" t="s">
        <v>0</v>
      </c>
      <c r="G15" s="19">
        <v>0</v>
      </c>
      <c r="H15" s="19" t="s">
        <v>0</v>
      </c>
      <c r="I15" s="3" t="str">
        <f t="shared" si="0"/>
        <v/>
      </c>
    </row>
    <row r="16" spans="1:9" ht="15" customHeight="1" x14ac:dyDescent="0.35">
      <c r="A16" s="8">
        <v>2021</v>
      </c>
      <c r="B16" s="9" t="s">
        <v>57</v>
      </c>
      <c r="C16" s="21" t="s">
        <v>53</v>
      </c>
      <c r="D16" s="10" t="s">
        <v>54</v>
      </c>
      <c r="E16" s="11" t="s">
        <v>73</v>
      </c>
      <c r="F16" s="6" t="s">
        <v>0</v>
      </c>
      <c r="G16" s="19">
        <v>0</v>
      </c>
      <c r="H16" s="19" t="s">
        <v>0</v>
      </c>
      <c r="I16" s="3" t="str">
        <f t="shared" ref="I16:I20" si="1">IF(OR(AND(G16&gt;1,G16&lt;&gt;"-"),AND(H16&gt;1,H16&lt;&gt;"-")),"Can exchange","")</f>
        <v/>
      </c>
    </row>
    <row r="17" spans="1:9" ht="15" customHeight="1" x14ac:dyDescent="0.35">
      <c r="A17" s="8">
        <v>2022</v>
      </c>
      <c r="B17" s="9" t="s">
        <v>57</v>
      </c>
      <c r="C17" s="21" t="s">
        <v>53</v>
      </c>
      <c r="D17" s="10" t="s">
        <v>54</v>
      </c>
      <c r="E17" s="11" t="s">
        <v>79</v>
      </c>
      <c r="F17" s="6" t="s">
        <v>0</v>
      </c>
      <c r="G17" s="19">
        <v>0</v>
      </c>
      <c r="H17" s="19" t="s">
        <v>0</v>
      </c>
      <c r="I17" s="3" t="str">
        <f t="shared" si="1"/>
        <v/>
      </c>
    </row>
    <row r="18" spans="1:9" ht="15" customHeight="1" x14ac:dyDescent="0.35">
      <c r="A18" s="8">
        <v>2023</v>
      </c>
      <c r="B18" s="9" t="s">
        <v>57</v>
      </c>
      <c r="C18" s="21" t="s">
        <v>53</v>
      </c>
      <c r="D18" s="10" t="s">
        <v>54</v>
      </c>
      <c r="E18" s="11" t="s">
        <v>65</v>
      </c>
      <c r="F18" s="6" t="s">
        <v>0</v>
      </c>
      <c r="G18" s="19">
        <v>0</v>
      </c>
      <c r="H18" s="19" t="s">
        <v>0</v>
      </c>
      <c r="I18" s="3" t="str">
        <f t="shared" si="1"/>
        <v/>
      </c>
    </row>
    <row r="19" spans="1:9" ht="15" customHeight="1" x14ac:dyDescent="0.35">
      <c r="A19" s="8">
        <v>2024</v>
      </c>
      <c r="B19" s="9" t="s">
        <v>57</v>
      </c>
      <c r="C19" s="21" t="s">
        <v>53</v>
      </c>
      <c r="D19" s="10" t="s">
        <v>54</v>
      </c>
      <c r="E19" s="11" t="s">
        <v>65</v>
      </c>
      <c r="F19" s="6" t="s">
        <v>0</v>
      </c>
      <c r="G19" s="19">
        <v>0</v>
      </c>
      <c r="H19" s="19" t="s">
        <v>0</v>
      </c>
      <c r="I19" s="3" t="str">
        <f t="shared" si="1"/>
        <v/>
      </c>
    </row>
    <row r="20" spans="1:9" ht="15" customHeight="1" x14ac:dyDescent="0.35">
      <c r="A20" s="8">
        <v>2025</v>
      </c>
      <c r="B20" s="6" t="s">
        <v>0</v>
      </c>
      <c r="C20" s="6" t="s">
        <v>0</v>
      </c>
      <c r="D20" s="6" t="s">
        <v>0</v>
      </c>
      <c r="E20" s="6" t="s">
        <v>0</v>
      </c>
      <c r="F20" s="6" t="s">
        <v>0</v>
      </c>
      <c r="G20" s="1" t="s">
        <v>0</v>
      </c>
      <c r="H20" s="1" t="s">
        <v>0</v>
      </c>
      <c r="I20" s="3" t="str">
        <f t="shared" si="1"/>
        <v/>
      </c>
    </row>
  </sheetData>
  <autoFilter ref="B2:F2" xr:uid="{00000000-0001-0000-0600-000000000000}"/>
  <mergeCells count="4">
    <mergeCell ref="A1:A2"/>
    <mergeCell ref="C1:D1"/>
    <mergeCell ref="E1:F1"/>
    <mergeCell ref="G1:H1"/>
  </mergeCells>
  <phoneticPr fontId="7" type="noConversion"/>
  <conditionalFormatting sqref="G3:G14">
    <cfRule type="containsText" dxfId="43" priority="15" operator="containsText" text="*-">
      <formula>NOT(ISERROR(SEARCH(("*-"),(G3))))</formula>
    </cfRule>
  </conditionalFormatting>
  <conditionalFormatting sqref="G3:G14">
    <cfRule type="colorScale" priority="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3:H14">
    <cfRule type="containsText" dxfId="42" priority="13" operator="containsText" text="*-">
      <formula>NOT(ISERROR(SEARCH(("*-"),(H3))))</formula>
    </cfRule>
  </conditionalFormatting>
  <conditionalFormatting sqref="H3:H14">
    <cfRule type="colorScale" priority="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5:G18">
    <cfRule type="containsText" dxfId="41" priority="11" operator="containsText" text="*-">
      <formula>NOT(ISERROR(SEARCH(("*-"),(G15))))</formula>
    </cfRule>
  </conditionalFormatting>
  <conditionalFormatting sqref="G15:G18">
    <cfRule type="colorScale" priority="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5:H18">
    <cfRule type="containsText" dxfId="40" priority="9" operator="containsText" text="*-">
      <formula>NOT(ISERROR(SEARCH(("*-"),(H15))))</formula>
    </cfRule>
  </conditionalFormatting>
  <conditionalFormatting sqref="H15:H18"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9">
    <cfRule type="containsText" dxfId="7" priority="7" operator="containsText" text="*-">
      <formula>NOT(ISERROR(SEARCH(("*-"),(G19))))</formula>
    </cfRule>
  </conditionalFormatting>
  <conditionalFormatting sqref="G19"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9">
    <cfRule type="containsText" dxfId="6" priority="5" operator="containsText" text="*-">
      <formula>NOT(ISERROR(SEARCH(("*-"),(H19))))</formula>
    </cfRule>
  </conditionalFormatting>
  <conditionalFormatting sqref="H19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20">
    <cfRule type="containsText" dxfId="5" priority="3" operator="containsText" text="*-">
      <formula>NOT(ISERROR(SEARCH(("*-"),(G20))))</formula>
    </cfRule>
  </conditionalFormatting>
  <conditionalFormatting sqref="G20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0">
    <cfRule type="containsText" dxfId="4" priority="1" operator="containsText" text="*-">
      <formula>NOT(ISERROR(SEARCH(("*-"),(H20))))</formula>
    </cfRule>
  </conditionalFormatting>
  <conditionalFormatting sqref="H20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28"/>
  <sheetViews>
    <sheetView tabSelected="1" workbookViewId="0">
      <pane xSplit="9" ySplit="2" topLeftCell="J3" activePane="bottomRight" state="frozen"/>
      <selection pane="topRight" activeCell="H1" sqref="H1"/>
      <selection pane="bottomLeft" activeCell="A3" sqref="A3"/>
      <selection pane="bottomRight" activeCell="D23" sqref="D23"/>
    </sheetView>
  </sheetViews>
  <sheetFormatPr defaultRowHeight="15" customHeight="1" x14ac:dyDescent="0.35"/>
  <cols>
    <col min="1" max="1" width="5.6328125" style="4" customWidth="1"/>
    <col min="2" max="2" width="50.6328125" style="4" customWidth="1"/>
    <col min="3" max="4" width="33.6328125" style="4" customWidth="1"/>
    <col min="5" max="6" width="12.6328125" style="4" customWidth="1"/>
    <col min="7" max="8" width="3.6328125" style="4" customWidth="1"/>
    <col min="9" max="9" width="12.6328125" style="4" customWidth="1"/>
  </cols>
  <sheetData>
    <row r="1" spans="1:20" ht="15" customHeight="1" x14ac:dyDescent="0.35">
      <c r="A1" s="24" t="s">
        <v>1</v>
      </c>
      <c r="B1" s="23"/>
      <c r="C1" s="26" t="s">
        <v>2</v>
      </c>
      <c r="D1" s="27"/>
      <c r="E1" s="28" t="s">
        <v>3</v>
      </c>
      <c r="F1" s="29"/>
      <c r="G1" s="38" t="s">
        <v>21</v>
      </c>
      <c r="H1" s="39"/>
      <c r="I1" s="2"/>
    </row>
    <row r="2" spans="1:20" ht="15" customHeight="1" x14ac:dyDescent="0.35">
      <c r="A2" s="25"/>
      <c r="B2" s="23" t="s">
        <v>85</v>
      </c>
      <c r="C2" s="5" t="s">
        <v>86</v>
      </c>
      <c r="D2" s="5" t="s">
        <v>88</v>
      </c>
      <c r="E2" s="7" t="s">
        <v>26</v>
      </c>
      <c r="F2" s="7" t="s">
        <v>58</v>
      </c>
      <c r="G2" s="18" t="s">
        <v>26</v>
      </c>
      <c r="H2" s="18" t="s">
        <v>58</v>
      </c>
      <c r="I2" s="2"/>
    </row>
    <row r="3" spans="1:20" ht="15" customHeight="1" x14ac:dyDescent="0.35">
      <c r="A3" s="8">
        <v>2008</v>
      </c>
      <c r="B3" s="9" t="s">
        <v>57</v>
      </c>
      <c r="C3" s="21" t="s">
        <v>53</v>
      </c>
      <c r="D3" s="10" t="s">
        <v>54</v>
      </c>
      <c r="E3" s="6" t="s">
        <v>0</v>
      </c>
      <c r="F3" s="11" t="s">
        <v>51</v>
      </c>
      <c r="G3" s="19" t="s">
        <v>0</v>
      </c>
      <c r="H3" s="19">
        <v>0</v>
      </c>
      <c r="I3" s="3" t="str">
        <f>IF(OR(AND(G3&gt;1,G3&lt;&gt;"-"),AND(H3&gt;1,H3&lt;&gt;"-")),"Can exchange","")</f>
        <v/>
      </c>
    </row>
    <row r="4" spans="1:20" ht="15" customHeight="1" x14ac:dyDescent="0.35">
      <c r="A4" s="8">
        <v>2009</v>
      </c>
      <c r="B4" s="9" t="s">
        <v>57</v>
      </c>
      <c r="C4" s="21" t="s">
        <v>53</v>
      </c>
      <c r="D4" s="10" t="s">
        <v>54</v>
      </c>
      <c r="E4" s="6" t="s">
        <v>0</v>
      </c>
      <c r="F4" s="11" t="s">
        <v>52</v>
      </c>
      <c r="G4" s="19" t="s">
        <v>0</v>
      </c>
      <c r="H4" s="19">
        <v>0</v>
      </c>
      <c r="I4" s="3" t="str">
        <f t="shared" ref="I4:I15" si="0">IF(OR(AND(G4&gt;1,G4&lt;&gt;"-"),AND(H4&gt;1,H4&lt;&gt;"-")),"Can exchange","")</f>
        <v/>
      </c>
    </row>
    <row r="5" spans="1:20" ht="15" customHeight="1" x14ac:dyDescent="0.35">
      <c r="A5" s="8">
        <v>2010</v>
      </c>
      <c r="B5" s="9" t="s">
        <v>57</v>
      </c>
      <c r="C5" s="21" t="s">
        <v>53</v>
      </c>
      <c r="D5" s="10" t="s">
        <v>54</v>
      </c>
      <c r="E5" s="11" t="s">
        <v>29</v>
      </c>
      <c r="F5" s="6" t="s">
        <v>0</v>
      </c>
      <c r="G5" s="19">
        <v>0</v>
      </c>
      <c r="H5" s="19" t="s">
        <v>0</v>
      </c>
      <c r="I5" s="3" t="str">
        <f t="shared" si="0"/>
        <v/>
      </c>
    </row>
    <row r="6" spans="1:20" ht="15" customHeight="1" x14ac:dyDescent="0.35">
      <c r="A6" s="8">
        <v>2011</v>
      </c>
      <c r="B6" s="9" t="s">
        <v>57</v>
      </c>
      <c r="C6" s="21" t="s">
        <v>53</v>
      </c>
      <c r="D6" s="10" t="s">
        <v>54</v>
      </c>
      <c r="E6" s="11" t="s">
        <v>31</v>
      </c>
      <c r="F6" s="6" t="s">
        <v>0</v>
      </c>
      <c r="G6" s="19">
        <v>0</v>
      </c>
      <c r="H6" s="19" t="s">
        <v>0</v>
      </c>
      <c r="I6" s="3" t="str">
        <f t="shared" si="0"/>
        <v/>
      </c>
    </row>
    <row r="7" spans="1:20" ht="15" customHeight="1" x14ac:dyDescent="0.35">
      <c r="A7" s="8">
        <v>2012</v>
      </c>
      <c r="B7" s="9" t="s">
        <v>57</v>
      </c>
      <c r="C7" s="21" t="s">
        <v>53</v>
      </c>
      <c r="D7" s="10" t="s">
        <v>54</v>
      </c>
      <c r="E7" s="11" t="s">
        <v>38</v>
      </c>
      <c r="F7" s="6" t="s">
        <v>0</v>
      </c>
      <c r="G7" s="19">
        <v>0</v>
      </c>
      <c r="H7" s="19" t="s">
        <v>0</v>
      </c>
      <c r="I7" s="3" t="str">
        <f t="shared" si="0"/>
        <v/>
      </c>
    </row>
    <row r="8" spans="1:20" ht="15" customHeight="1" x14ac:dyDescent="0.35">
      <c r="A8" s="8">
        <v>2013</v>
      </c>
      <c r="B8" s="9" t="s">
        <v>57</v>
      </c>
      <c r="C8" s="21" t="s">
        <v>53</v>
      </c>
      <c r="D8" s="10" t="s">
        <v>54</v>
      </c>
      <c r="E8" s="11" t="s">
        <v>32</v>
      </c>
      <c r="F8" s="6" t="s">
        <v>0</v>
      </c>
      <c r="G8" s="19">
        <v>0</v>
      </c>
      <c r="H8" s="19" t="s">
        <v>0</v>
      </c>
      <c r="I8" s="3" t="str">
        <f t="shared" si="0"/>
        <v/>
      </c>
    </row>
    <row r="9" spans="1:20" ht="15" customHeight="1" x14ac:dyDescent="0.35">
      <c r="A9" s="8">
        <v>2014</v>
      </c>
      <c r="B9" s="9" t="s">
        <v>57</v>
      </c>
      <c r="C9" s="21" t="s">
        <v>53</v>
      </c>
      <c r="D9" s="10" t="s">
        <v>54</v>
      </c>
      <c r="E9" s="11" t="s">
        <v>32</v>
      </c>
      <c r="F9" s="6" t="s">
        <v>0</v>
      </c>
      <c r="G9" s="19">
        <v>0</v>
      </c>
      <c r="H9" s="19" t="s">
        <v>0</v>
      </c>
      <c r="I9" s="3" t="str">
        <f t="shared" si="0"/>
        <v/>
      </c>
    </row>
    <row r="10" spans="1:20" ht="15" customHeight="1" x14ac:dyDescent="0.35">
      <c r="A10" s="8">
        <v>2015</v>
      </c>
      <c r="B10" s="9" t="s">
        <v>57</v>
      </c>
      <c r="C10" s="21" t="s">
        <v>53</v>
      </c>
      <c r="D10" s="10" t="s">
        <v>54</v>
      </c>
      <c r="E10" s="11" t="s">
        <v>32</v>
      </c>
      <c r="F10" s="6" t="s">
        <v>0</v>
      </c>
      <c r="G10" s="19">
        <v>0</v>
      </c>
      <c r="H10" s="19" t="s">
        <v>0</v>
      </c>
      <c r="I10" s="3" t="str">
        <f t="shared" si="0"/>
        <v/>
      </c>
    </row>
    <row r="11" spans="1:20" ht="15" customHeight="1" x14ac:dyDescent="0.35">
      <c r="A11" s="8">
        <v>2016</v>
      </c>
      <c r="B11" s="9" t="s">
        <v>57</v>
      </c>
      <c r="C11" s="21" t="s">
        <v>53</v>
      </c>
      <c r="D11" s="10" t="s">
        <v>54</v>
      </c>
      <c r="E11" s="11" t="s">
        <v>32</v>
      </c>
      <c r="F11" s="6" t="s">
        <v>0</v>
      </c>
      <c r="G11" s="19">
        <v>0</v>
      </c>
      <c r="H11" s="19" t="s">
        <v>0</v>
      </c>
      <c r="I11" s="3" t="str">
        <f t="shared" si="0"/>
        <v/>
      </c>
      <c r="S11" s="22"/>
      <c r="T11" s="22"/>
    </row>
    <row r="12" spans="1:20" ht="15" customHeight="1" x14ac:dyDescent="0.35">
      <c r="A12" s="8">
        <v>2017</v>
      </c>
      <c r="B12" s="9" t="s">
        <v>57</v>
      </c>
      <c r="C12" s="21" t="s">
        <v>53</v>
      </c>
      <c r="D12" s="10" t="s">
        <v>54</v>
      </c>
      <c r="E12" s="11" t="s">
        <v>32</v>
      </c>
      <c r="F12" s="6" t="s">
        <v>0</v>
      </c>
      <c r="G12" s="19">
        <v>0</v>
      </c>
      <c r="H12" s="19" t="s">
        <v>0</v>
      </c>
      <c r="I12" s="3" t="str">
        <f t="shared" si="0"/>
        <v/>
      </c>
    </row>
    <row r="13" spans="1:20" ht="15" customHeight="1" x14ac:dyDescent="0.35">
      <c r="A13" s="8">
        <v>2018</v>
      </c>
      <c r="B13" s="9" t="s">
        <v>57</v>
      </c>
      <c r="C13" s="21" t="s">
        <v>53</v>
      </c>
      <c r="D13" s="10" t="s">
        <v>54</v>
      </c>
      <c r="E13" s="11" t="s">
        <v>32</v>
      </c>
      <c r="F13" s="6" t="s">
        <v>0</v>
      </c>
      <c r="G13" s="19">
        <v>0</v>
      </c>
      <c r="H13" s="19" t="s">
        <v>0</v>
      </c>
      <c r="I13" s="3" t="str">
        <f t="shared" si="0"/>
        <v/>
      </c>
    </row>
    <row r="14" spans="1:20" ht="15" customHeight="1" x14ac:dyDescent="0.35">
      <c r="A14" s="8">
        <v>2019</v>
      </c>
      <c r="B14" s="9" t="s">
        <v>57</v>
      </c>
      <c r="C14" s="21" t="s">
        <v>53</v>
      </c>
      <c r="D14" s="10" t="s">
        <v>54</v>
      </c>
      <c r="E14" s="11" t="s">
        <v>47</v>
      </c>
      <c r="F14" s="6" t="s">
        <v>0</v>
      </c>
      <c r="G14" s="19">
        <v>0</v>
      </c>
      <c r="H14" s="19" t="s">
        <v>0</v>
      </c>
      <c r="I14" s="3" t="str">
        <f t="shared" si="0"/>
        <v/>
      </c>
    </row>
    <row r="15" spans="1:20" ht="15" customHeight="1" x14ac:dyDescent="0.35">
      <c r="A15" s="8">
        <v>2020</v>
      </c>
      <c r="B15" s="9" t="s">
        <v>57</v>
      </c>
      <c r="C15" s="21" t="s">
        <v>53</v>
      </c>
      <c r="D15" s="10" t="s">
        <v>54</v>
      </c>
      <c r="E15" s="11" t="s">
        <v>66</v>
      </c>
      <c r="F15" s="6" t="s">
        <v>0</v>
      </c>
      <c r="G15" s="19">
        <v>0</v>
      </c>
      <c r="H15" s="19" t="s">
        <v>0</v>
      </c>
      <c r="I15" s="3" t="str">
        <f t="shared" si="0"/>
        <v/>
      </c>
    </row>
    <row r="16" spans="1:20" ht="15" customHeight="1" x14ac:dyDescent="0.35">
      <c r="A16" s="8">
        <v>2021</v>
      </c>
      <c r="B16" s="9" t="s">
        <v>57</v>
      </c>
      <c r="C16" s="21" t="s">
        <v>53</v>
      </c>
      <c r="D16" s="10" t="s">
        <v>54</v>
      </c>
      <c r="E16" s="11" t="s">
        <v>74</v>
      </c>
      <c r="F16" s="6" t="s">
        <v>0</v>
      </c>
      <c r="G16" s="19">
        <v>0</v>
      </c>
      <c r="H16" s="19" t="s">
        <v>0</v>
      </c>
      <c r="I16" s="3" t="str">
        <f t="shared" ref="I16:I20" si="1">IF(OR(AND(G16&gt;1,G16&lt;&gt;"-"),AND(H16&gt;1,H16&lt;&gt;"-")),"Can exchange","")</f>
        <v/>
      </c>
    </row>
    <row r="17" spans="1:19" ht="15" customHeight="1" x14ac:dyDescent="0.35">
      <c r="A17" s="8">
        <v>2022</v>
      </c>
      <c r="B17" s="9" t="s">
        <v>57</v>
      </c>
      <c r="C17" s="21" t="s">
        <v>53</v>
      </c>
      <c r="D17" s="10" t="s">
        <v>54</v>
      </c>
      <c r="E17" s="11" t="s">
        <v>80</v>
      </c>
      <c r="F17" s="6" t="s">
        <v>0</v>
      </c>
      <c r="G17" s="19">
        <v>0</v>
      </c>
      <c r="H17" s="19" t="s">
        <v>0</v>
      </c>
      <c r="I17" s="3" t="str">
        <f t="shared" si="1"/>
        <v/>
      </c>
    </row>
    <row r="18" spans="1:19" ht="15" customHeight="1" x14ac:dyDescent="0.35">
      <c r="A18" s="8">
        <v>2023</v>
      </c>
      <c r="B18" s="9" t="s">
        <v>57</v>
      </c>
      <c r="C18" s="21" t="s">
        <v>53</v>
      </c>
      <c r="D18" s="10" t="s">
        <v>54</v>
      </c>
      <c r="E18" s="11" t="s">
        <v>84</v>
      </c>
      <c r="F18" s="6" t="s">
        <v>0</v>
      </c>
      <c r="G18" s="19">
        <v>0</v>
      </c>
      <c r="H18" s="19" t="s">
        <v>0</v>
      </c>
      <c r="I18" s="3" t="str">
        <f t="shared" si="1"/>
        <v/>
      </c>
    </row>
    <row r="19" spans="1:19" ht="15" customHeight="1" x14ac:dyDescent="0.35">
      <c r="A19" s="8">
        <v>2024</v>
      </c>
      <c r="B19" s="9" t="s">
        <v>57</v>
      </c>
      <c r="C19" s="21" t="s">
        <v>53</v>
      </c>
      <c r="D19" s="10" t="s">
        <v>54</v>
      </c>
      <c r="E19" s="11" t="s">
        <v>65</v>
      </c>
      <c r="F19" s="6" t="s">
        <v>0</v>
      </c>
      <c r="G19" s="19">
        <v>0</v>
      </c>
      <c r="H19" s="19" t="s">
        <v>0</v>
      </c>
      <c r="I19" s="3" t="str">
        <f t="shared" si="1"/>
        <v/>
      </c>
    </row>
    <row r="20" spans="1:19" ht="15" customHeight="1" x14ac:dyDescent="0.35">
      <c r="A20" s="8">
        <v>2025</v>
      </c>
      <c r="B20" s="6" t="s">
        <v>0</v>
      </c>
      <c r="C20" s="6" t="s">
        <v>0</v>
      </c>
      <c r="D20" s="6" t="s">
        <v>0</v>
      </c>
      <c r="E20" s="6" t="s">
        <v>0</v>
      </c>
      <c r="F20" s="6" t="s">
        <v>0</v>
      </c>
      <c r="G20" s="1" t="s">
        <v>0</v>
      </c>
      <c r="H20" s="1" t="s">
        <v>0</v>
      </c>
      <c r="I20" s="3" t="str">
        <f t="shared" si="1"/>
        <v/>
      </c>
    </row>
    <row r="28" spans="1:19" ht="15" customHeight="1" x14ac:dyDescent="0.35">
      <c r="R28" s="22"/>
      <c r="S28" s="22"/>
    </row>
  </sheetData>
  <autoFilter ref="B2:F2" xr:uid="{00000000-0001-0000-0700-000000000000}"/>
  <mergeCells count="4">
    <mergeCell ref="E1:F1"/>
    <mergeCell ref="G1:H1"/>
    <mergeCell ref="A1:A2"/>
    <mergeCell ref="C1:D1"/>
  </mergeCells>
  <phoneticPr fontId="8" type="noConversion"/>
  <conditionalFormatting sqref="G3:G14 G16 G18">
    <cfRule type="containsText" dxfId="39" priority="15" operator="containsText" text="*-">
      <formula>NOT(ISERROR(SEARCH(("*-"),(G3))))</formula>
    </cfRule>
  </conditionalFormatting>
  <conditionalFormatting sqref="G3:G14 G16 G18">
    <cfRule type="colorScale" priority="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3:H14 H16 H18">
    <cfRule type="containsText" dxfId="38" priority="13" operator="containsText" text="*-">
      <formula>NOT(ISERROR(SEARCH(("*-"),(H3))))</formula>
    </cfRule>
  </conditionalFormatting>
  <conditionalFormatting sqref="H3:H14 H16 H18">
    <cfRule type="colorScale" priority="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5 G17">
    <cfRule type="containsText" dxfId="37" priority="11" operator="containsText" text="*-">
      <formula>NOT(ISERROR(SEARCH(("*-"),(G15))))</formula>
    </cfRule>
  </conditionalFormatting>
  <conditionalFormatting sqref="G15 G17">
    <cfRule type="colorScale" priority="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5 H17">
    <cfRule type="containsText" dxfId="36" priority="9" operator="containsText" text="*-">
      <formula>NOT(ISERROR(SEARCH(("*-"),(H15))))</formula>
    </cfRule>
  </conditionalFormatting>
  <conditionalFormatting sqref="H15 H17"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9">
    <cfRule type="containsText" dxfId="3" priority="7" operator="containsText" text="*-">
      <formula>NOT(ISERROR(SEARCH(("*-"),(G19))))</formula>
    </cfRule>
  </conditionalFormatting>
  <conditionalFormatting sqref="G19"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9">
    <cfRule type="containsText" dxfId="2" priority="5" operator="containsText" text="*-">
      <formula>NOT(ISERROR(SEARCH(("*-"),(H19))))</formula>
    </cfRule>
  </conditionalFormatting>
  <conditionalFormatting sqref="H19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20">
    <cfRule type="containsText" dxfId="1" priority="3" operator="containsText" text="*-">
      <formula>NOT(ISERROR(SEARCH(("*-"),(G20))))</formula>
    </cfRule>
  </conditionalFormatting>
  <conditionalFormatting sqref="G20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0">
    <cfRule type="containsText" dxfId="0" priority="1" operator="containsText" text="*-">
      <formula>NOT(ISERROR(SEARCH(("*-"),(H20))))</formula>
    </cfRule>
  </conditionalFormatting>
  <conditionalFormatting sqref="H20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7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C11" sqref="C11"/>
    </sheetView>
  </sheetViews>
  <sheetFormatPr defaultRowHeight="15" customHeight="1" x14ac:dyDescent="0.35"/>
  <cols>
    <col min="1" max="1" width="4.81640625" customWidth="1"/>
    <col min="2" max="2" width="16.26953125" customWidth="1"/>
    <col min="3" max="3" width="61.81640625" customWidth="1"/>
  </cols>
  <sheetData>
    <row r="1" spans="1:3" ht="15" customHeight="1" x14ac:dyDescent="0.35">
      <c r="A1" s="12" t="s">
        <v>11</v>
      </c>
      <c r="B1" s="13" t="s">
        <v>12</v>
      </c>
      <c r="C1" s="14" t="s">
        <v>13</v>
      </c>
    </row>
    <row r="2" spans="1:3" ht="15" customHeight="1" x14ac:dyDescent="0.35">
      <c r="A2" s="15">
        <v>1</v>
      </c>
      <c r="B2" s="16" t="s">
        <v>14</v>
      </c>
      <c r="C2" s="17" t="s">
        <v>15</v>
      </c>
    </row>
    <row r="3" spans="1:3" ht="15" customHeight="1" x14ac:dyDescent="0.35">
      <c r="A3" s="15">
        <v>2</v>
      </c>
      <c r="B3" s="16" t="s">
        <v>17</v>
      </c>
      <c r="C3" s="17" t="s">
        <v>16</v>
      </c>
    </row>
    <row r="4" spans="1:3" ht="15" customHeight="1" x14ac:dyDescent="0.35">
      <c r="A4" s="15">
        <v>3</v>
      </c>
      <c r="B4" s="16" t="s">
        <v>18</v>
      </c>
      <c r="C4" s="17" t="s">
        <v>23</v>
      </c>
    </row>
    <row r="5" spans="1:3" ht="15" customHeight="1" x14ac:dyDescent="0.35">
      <c r="A5" s="15">
        <v>4</v>
      </c>
      <c r="B5" s="16" t="s">
        <v>19</v>
      </c>
      <c r="C5" s="17" t="s">
        <v>20</v>
      </c>
    </row>
    <row r="6" spans="1:3" ht="15" customHeight="1" x14ac:dyDescent="0.35">
      <c r="A6" s="15">
        <v>5</v>
      </c>
      <c r="B6" s="16" t="s">
        <v>22</v>
      </c>
      <c r="C6" s="20" t="s">
        <v>24</v>
      </c>
    </row>
    <row r="7" spans="1:3" ht="15" customHeight="1" x14ac:dyDescent="0.35">
      <c r="A7" s="15">
        <v>6</v>
      </c>
      <c r="B7" s="16" t="s">
        <v>22</v>
      </c>
      <c r="C7" s="20" t="s">
        <v>25</v>
      </c>
    </row>
  </sheetData>
  <hyperlinks>
    <hyperlink ref="B2" r:id="rId1" xr:uid="{00000000-0004-0000-0800-000000000000}"/>
    <hyperlink ref="B3" r:id="rId2" xr:uid="{00000000-0004-0000-0800-000001000000}"/>
    <hyperlink ref="B4" r:id="rId3" xr:uid="{00000000-0004-0000-0800-000002000000}"/>
    <hyperlink ref="B5" r:id="rId4" xr:uid="{00000000-0004-0000-0800-000003000000}"/>
    <hyperlink ref="B7" r:id="rId5" xr:uid="{00000000-0004-0000-0800-000004000000}"/>
    <hyperlink ref="B6" r:id="rId6" xr:uid="{00000000-0004-0000-0800-000005000000}"/>
  </hyperlinks>
  <pageMargins left="0.7" right="0.7" top="0.75" bottom="0.75" header="0.3" footer="0.3"/>
  <pageSetup paperSize="9" orientation="portrait" horizontalDpi="300" verticalDpi="300" r:id="rId7"/>
  <tableParts count="1"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1cent</vt:lpstr>
      <vt:lpstr>2cents</vt:lpstr>
      <vt:lpstr>5cents</vt:lpstr>
      <vt:lpstr>10cents</vt:lpstr>
      <vt:lpstr>20cents</vt:lpstr>
      <vt:lpstr>50cents</vt:lpstr>
      <vt:lpstr>1€</vt:lpstr>
      <vt:lpstr>2€</vt:lpstr>
      <vt:lpstr>Links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Алексей Илюшин</cp:lastModifiedBy>
  <dcterms:created xsi:type="dcterms:W3CDTF">2019-12-22T17:08:36Z</dcterms:created>
  <dcterms:modified xsi:type="dcterms:W3CDTF">2026-02-12T09:28:10Z</dcterms:modified>
</cp:coreProperties>
</file>