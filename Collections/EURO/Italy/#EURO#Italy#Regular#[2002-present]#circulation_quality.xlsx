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EURO\Italy\"/>
    </mc:Choice>
  </mc:AlternateContent>
  <xr:revisionPtr revIDLastSave="0" documentId="13_ncr:1_{B1D734BF-5759-4D29-BF15-0872D628E552}" xr6:coauthVersionLast="47" xr6:coauthVersionMax="47" xr10:uidLastSave="{00000000-0000-0000-0000-000000000000}"/>
  <bookViews>
    <workbookView xWindow="-110" yWindow="-110" windowWidth="38620" windowHeight="21220" activeTab="7" xr2:uid="{00000000-000D-0000-FFFF-FFFF00000000}"/>
  </bookViews>
  <sheets>
    <sheet name="1cent" sheetId="4" r:id="rId1"/>
    <sheet name="2cents" sheetId="5" r:id="rId2"/>
    <sheet name="5cents" sheetId="7" r:id="rId3"/>
    <sheet name="10cents" sheetId="8" r:id="rId4"/>
    <sheet name="20cents" sheetId="9" r:id="rId5"/>
    <sheet name="50cents" sheetId="10" r:id="rId6"/>
    <sheet name="1€" sheetId="11" r:id="rId7"/>
    <sheet name="2€" sheetId="12" r:id="rId8"/>
    <sheet name="Links" sheetId="6" r:id="rId9"/>
  </sheets>
  <definedNames>
    <definedName name="_xlnm._FilterDatabase" localSheetId="6" hidden="1">'1€'!$B$2:$F$2</definedName>
    <definedName name="_xlnm._FilterDatabase" localSheetId="3" hidden="1">'10cents'!$B$2:$F$2</definedName>
    <definedName name="_xlnm._FilterDatabase" localSheetId="0" hidden="1">'1cent'!$B$2:$E$2</definedName>
    <definedName name="_xlnm._FilterDatabase" localSheetId="7" hidden="1">'2€'!$B$2:$E$2</definedName>
    <definedName name="_xlnm._FilterDatabase" localSheetId="4" hidden="1">'20cents'!$B$2:$E$2</definedName>
    <definedName name="_xlnm._FilterDatabase" localSheetId="1" hidden="1">'2cents'!$B$2:$E$2</definedName>
    <definedName name="_xlnm._FilterDatabase" localSheetId="5" hidden="1">'50cents'!$B$2:$E$2</definedName>
    <definedName name="_xlnm._FilterDatabase" localSheetId="2" hidden="1">'5cents'!$B$2:$E$2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6" i="12" l="1"/>
  <c r="G25" i="12"/>
  <c r="H27" i="11"/>
  <c r="H26" i="11"/>
  <c r="G26" i="10"/>
  <c r="G25" i="10"/>
  <c r="G26" i="9"/>
  <c r="G25" i="9"/>
  <c r="H28" i="8"/>
  <c r="H27" i="8"/>
  <c r="G25" i="7"/>
  <c r="G26" i="7"/>
  <c r="G26" i="5"/>
  <c r="G25" i="5"/>
  <c r="G26" i="4"/>
  <c r="G25" i="4"/>
  <c r="G22" i="4"/>
  <c r="G23" i="4"/>
  <c r="G24" i="4"/>
  <c r="G22" i="5"/>
  <c r="G23" i="5"/>
  <c r="G24" i="5"/>
  <c r="G22" i="7"/>
  <c r="G23" i="7"/>
  <c r="G24" i="7"/>
  <c r="H24" i="8"/>
  <c r="H25" i="8"/>
  <c r="H26" i="8"/>
  <c r="G22" i="9"/>
  <c r="G23" i="9"/>
  <c r="G24" i="9"/>
  <c r="G22" i="10"/>
  <c r="G23" i="10"/>
  <c r="G24" i="10"/>
  <c r="H23" i="11"/>
  <c r="H24" i="11"/>
  <c r="H25" i="11"/>
  <c r="G22" i="12"/>
  <c r="G23" i="12"/>
  <c r="G24" i="12"/>
  <c r="G21" i="12"/>
  <c r="H22" i="11"/>
  <c r="G21" i="10"/>
  <c r="G21" i="9"/>
  <c r="H23" i="8"/>
  <c r="G21" i="7"/>
  <c r="G21" i="5"/>
  <c r="G20" i="5"/>
  <c r="G19" i="5"/>
  <c r="G21" i="4"/>
  <c r="H4" i="11" l="1"/>
  <c r="H5" i="8" l="1"/>
  <c r="H4" i="8"/>
  <c r="G20" i="12" l="1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G3" i="12"/>
  <c r="H21" i="11"/>
  <c r="H20" i="11"/>
  <c r="H19" i="11"/>
  <c r="H18" i="11"/>
  <c r="H17" i="11"/>
  <c r="H16" i="11"/>
  <c r="H15" i="11"/>
  <c r="H14" i="11"/>
  <c r="H13" i="11"/>
  <c r="H12" i="11"/>
  <c r="H11" i="11"/>
  <c r="H10" i="11"/>
  <c r="H9" i="11"/>
  <c r="H8" i="11"/>
  <c r="H7" i="11"/>
  <c r="H6" i="11"/>
  <c r="H5" i="11"/>
  <c r="H3" i="11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G5" i="10"/>
  <c r="G4" i="10"/>
  <c r="G3" i="10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G6" i="9"/>
  <c r="G5" i="9"/>
  <c r="G4" i="9"/>
  <c r="G3" i="9"/>
  <c r="H22" i="8" l="1"/>
  <c r="H21" i="8"/>
  <c r="H20" i="8"/>
  <c r="H19" i="8"/>
  <c r="H18" i="8"/>
  <c r="H17" i="8"/>
  <c r="H16" i="8"/>
  <c r="H15" i="8"/>
  <c r="H14" i="8"/>
  <c r="H13" i="8"/>
  <c r="H12" i="8"/>
  <c r="H11" i="8"/>
  <c r="H10" i="8"/>
  <c r="H9" i="8"/>
  <c r="H8" i="8"/>
  <c r="H7" i="8"/>
  <c r="H6" i="8"/>
  <c r="H3" i="8"/>
  <c r="G20" i="7" l="1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3" i="7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Istituto Poligrafico e Zecca dello Stato
(Rome mint)</t>
        </r>
      </text>
    </comment>
    <comment ref="F2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Istituto Poligrafico e Zecca dello Stato
(Rome mint)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Istituto Poligrafico e Zecca dello Stato
(Rome mint)</t>
        </r>
      </text>
    </comment>
    <comment ref="F2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Istituto Poligrafico e Zecca dello Stato
(Rome mint)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>Istituto Poligrafico e Zecca dello Stato
(Rome mint)</t>
        </r>
      </text>
    </comment>
    <comment ref="F2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>Istituto Poligrafico e Zecca dello Stato
(Rome mint)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>Istituto Poligrafico e Zecca dello Stato
(Rome mint)</t>
        </r>
      </text>
    </comment>
    <comment ref="G2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>Istituto Poligrafico e Zecca dello Stato
(Rome mint)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>Istituto Poligrafico e Zecca dello Stato
(Rome mint)</t>
        </r>
      </text>
    </comment>
    <comment ref="F2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Istituto Poligrafico e Zecca dello Stato
(Rome mint)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500-000001000000}">
      <text>
        <r>
          <rPr>
            <b/>
            <sz val="9"/>
            <color indexed="81"/>
            <rFont val="Tahoma"/>
            <family val="2"/>
            <charset val="204"/>
          </rPr>
          <t>Istituto Poligrafico e Zecca dello Stato
(Rome mint)</t>
        </r>
      </text>
    </comment>
    <comment ref="F2" authorId="0" shapeId="0" xr:uid="{00000000-0006-0000-0500-000002000000}">
      <text>
        <r>
          <rPr>
            <b/>
            <sz val="9"/>
            <color indexed="81"/>
            <rFont val="Tahoma"/>
            <family val="2"/>
            <charset val="204"/>
          </rPr>
          <t>Istituto Poligrafico e Zecca dello Stato
(Rome mint)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600-000001000000}">
      <text>
        <r>
          <rPr>
            <b/>
            <sz val="9"/>
            <color indexed="81"/>
            <rFont val="Tahoma"/>
            <family val="2"/>
            <charset val="204"/>
          </rPr>
          <t>Istituto Poligrafico e Zecca dello Stato
(Rome mint)</t>
        </r>
      </text>
    </comment>
    <comment ref="G2" authorId="0" shapeId="0" xr:uid="{00000000-0006-0000-0600-000002000000}">
      <text>
        <r>
          <rPr>
            <b/>
            <sz val="9"/>
            <color indexed="81"/>
            <rFont val="Tahoma"/>
            <family val="2"/>
            <charset val="204"/>
          </rPr>
          <t>Istituto Poligrafico e Zecca dello Stato
(Rome mint)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700-000001000000}">
      <text>
        <r>
          <rPr>
            <b/>
            <sz val="9"/>
            <color indexed="81"/>
            <rFont val="Tahoma"/>
            <family val="2"/>
            <charset val="204"/>
          </rPr>
          <t>Istituto Poligrafico e Zecca dello Stato
(Rome mint)</t>
        </r>
      </text>
    </comment>
    <comment ref="F2" authorId="0" shapeId="0" xr:uid="{00000000-0006-0000-0700-000002000000}">
      <text>
        <r>
          <rPr>
            <b/>
            <sz val="9"/>
            <color indexed="81"/>
            <rFont val="Tahoma"/>
            <family val="2"/>
            <charset val="204"/>
          </rPr>
          <t>Istituto Poligrafico e Zecca dello Stato
(Rome mint)</t>
        </r>
      </text>
    </comment>
  </commentList>
</comments>
</file>

<file path=xl/sharedStrings.xml><?xml version="1.0" encoding="utf-8"?>
<sst xmlns="http://schemas.openxmlformats.org/spreadsheetml/2006/main" count="823" uniqueCount="136">
  <si>
    <t>Year</t>
  </si>
  <si>
    <t>Type</t>
  </si>
  <si>
    <t>Mintage</t>
  </si>
  <si>
    <t>1cent</t>
  </si>
  <si>
    <t>2cents</t>
  </si>
  <si>
    <t>5cents</t>
  </si>
  <si>
    <t>10cents</t>
  </si>
  <si>
    <t>Rev: old map of Europe</t>
  </si>
  <si>
    <t>Rev: new map of Europe</t>
  </si>
  <si>
    <t>20cents</t>
  </si>
  <si>
    <t>50cents</t>
  </si>
  <si>
    <t>1€</t>
  </si>
  <si>
    <t>2€</t>
  </si>
  <si>
    <t>№</t>
  </si>
  <si>
    <t>Link</t>
  </si>
  <si>
    <t>Description (single table, table set, mintage, prices):</t>
  </si>
  <si>
    <t>en.ucoin.net</t>
  </si>
  <si>
    <t>Middle convenience set of table with mintages and varieties</t>
  </si>
  <si>
    <t>Middle convenience single table with mintages</t>
  </si>
  <si>
    <t>euro-coins</t>
  </si>
  <si>
    <t>euro-coins.info</t>
  </si>
  <si>
    <t>Low convenience table of varities</t>
  </si>
  <si>
    <t>img-fotki.yandex</t>
  </si>
  <si>
    <t>Photo of coins</t>
  </si>
  <si>
    <t>eurocollection</t>
  </si>
  <si>
    <t>High convenience single table of varieties with photos</t>
  </si>
  <si>
    <t>High convenience set of tables table of actual coins with photos</t>
  </si>
  <si>
    <t>IT</t>
  </si>
  <si>
    <t>1.348.749.500</t>
  </si>
  <si>
    <t>9.479.000</t>
  </si>
  <si>
    <t>100.000.000</t>
  </si>
  <si>
    <t>180.000.000</t>
  </si>
  <si>
    <t>159.000.000</t>
  </si>
  <si>
    <t>215.000.000</t>
  </si>
  <si>
    <t>175.000.000</t>
  </si>
  <si>
    <t>125.491.100</t>
  </si>
  <si>
    <t>134.000.000</t>
  </si>
  <si>
    <t>218.000.000</t>
  </si>
  <si>
    <t>250.000.000</t>
  </si>
  <si>
    <t>150.000.000</t>
  </si>
  <si>
    <t>220.000.000</t>
  </si>
  <si>
    <t>160.000.000</t>
  </si>
  <si>
    <t>260.000.000</t>
  </si>
  <si>
    <t>1.099.016.250</t>
  </si>
  <si>
    <t>21.667.000</t>
  </si>
  <si>
    <t>120.000.000</t>
  </si>
  <si>
    <t>196.000.000</t>
  </si>
  <si>
    <t>140.000.000</t>
  </si>
  <si>
    <t>135.000.000</t>
  </si>
  <si>
    <t>185.000.000</t>
  </si>
  <si>
    <t>120.286.400</t>
  </si>
  <si>
    <t>109.000.000</t>
  </si>
  <si>
    <t>80.000.000</t>
  </si>
  <si>
    <t>115.000.000</t>
  </si>
  <si>
    <t>1.341.592.204</t>
  </si>
  <si>
    <t>1.956.000</t>
  </si>
  <si>
    <t>10.000.000</t>
  </si>
  <si>
    <t>70.000.000</t>
  </si>
  <si>
    <t>119.000.000</t>
  </si>
  <si>
    <t>85.000.000</t>
  </si>
  <si>
    <t>90.000.000</t>
  </si>
  <si>
    <t>67.661.100</t>
  </si>
  <si>
    <t>37.000.000</t>
  </si>
  <si>
    <t>76.000.000</t>
  </si>
  <si>
    <t>40.000.000</t>
  </si>
  <si>
    <t>30.000.000</t>
  </si>
  <si>
    <t>1.142.233.000</t>
  </si>
  <si>
    <t>29.826.000</t>
  </si>
  <si>
    <t>5.000.000</t>
  </si>
  <si>
    <t>105.000.000</t>
  </si>
  <si>
    <t>106.000.000</t>
  </si>
  <si>
    <t>91.371.400</t>
  </si>
  <si>
    <t>15.000.000</t>
  </si>
  <si>
    <t>14.000.000</t>
  </si>
  <si>
    <t>1.411.686.000</t>
  </si>
  <si>
    <t>26.005.000</t>
  </si>
  <si>
    <t>60.000.000</t>
  </si>
  <si>
    <t>57.830.000</t>
  </si>
  <si>
    <t>67.000.000</t>
  </si>
  <si>
    <t>1.136.568.000</t>
  </si>
  <si>
    <t>44.675.000</t>
  </si>
  <si>
    <t>2.500.000</t>
  </si>
  <si>
    <t>9.252.800</t>
  </si>
  <si>
    <t>3.000.000</t>
  </si>
  <si>
    <t>965.875.300</t>
  </si>
  <si>
    <t>66.342.000</t>
  </si>
  <si>
    <t>108.000.000</t>
  </si>
  <si>
    <t>145.000.000</t>
  </si>
  <si>
    <t>96.576.100</t>
  </si>
  <si>
    <t>88.000.000</t>
  </si>
  <si>
    <t>463.552.200</t>
  </si>
  <si>
    <t>36.210.000</t>
  </si>
  <si>
    <t>7.000.000</t>
  </si>
  <si>
    <t>62.000.000</t>
  </si>
  <si>
    <t>2.000.000</t>
  </si>
  <si>
    <t>5.831.100</t>
  </si>
  <si>
    <t>27.000.000</t>
  </si>
  <si>
    <t>N/A</t>
  </si>
  <si>
    <t xml:space="preserve">Obv: Smaller artist signature </t>
  </si>
  <si>
    <t>Obv: Double border</t>
  </si>
  <si>
    <t>Obv: Missing artist signature</t>
  </si>
  <si>
    <t>Obv: With mint symbol - "R"</t>
  </si>
  <si>
    <t>Obv: Castel del Monte</t>
  </si>
  <si>
    <t>Obv: Mole Antonelliana</t>
  </si>
  <si>
    <t>Obv: Colosseum</t>
  </si>
  <si>
    <t>Obv: The Birth of Venus</t>
  </si>
  <si>
    <t>Obv: Sculpture Unique Forms of Continuity in Space</t>
  </si>
  <si>
    <t>Obv: Equestrian Statue of Marcus Aurelius</t>
  </si>
  <si>
    <t>Obv: Vitruvian Man</t>
  </si>
  <si>
    <t>Obv: Dante Alighieri</t>
  </si>
  <si>
    <t>-</t>
  </si>
  <si>
    <t>42.000</t>
  </si>
  <si>
    <t>23.000</t>
  </si>
  <si>
    <t>24.000</t>
  </si>
  <si>
    <t>170.000.000</t>
  </si>
  <si>
    <t>50.000.000</t>
  </si>
  <si>
    <t>110.000.000</t>
  </si>
  <si>
    <t>45.000.000</t>
  </si>
  <si>
    <t>51.000.000</t>
  </si>
  <si>
    <t>20.000.000</t>
  </si>
  <si>
    <t>1.000.000</t>
  </si>
  <si>
    <t>24.000.000</t>
  </si>
  <si>
    <t>12.000.000</t>
  </si>
  <si>
    <t>17.500</t>
  </si>
  <si>
    <t>35.000.000</t>
  </si>
  <si>
    <t>25.000.000</t>
  </si>
  <si>
    <t>20.500</t>
  </si>
  <si>
    <t>22.000.000</t>
  </si>
  <si>
    <t>Subject</t>
  </si>
  <si>
    <t>Subtype_1#Special_marks_1</t>
  </si>
  <si>
    <t>Subtype_2#Special_distinctions_1</t>
  </si>
  <si>
    <t>Subtype_3#Special_distinctions_1</t>
  </si>
  <si>
    <t>Subtype_2#Map_of_Europe</t>
  </si>
  <si>
    <t>19.000</t>
  </si>
  <si>
    <t>15.500</t>
  </si>
  <si>
    <t>200.000.000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</si>
</sst>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[$€-1];[Red]\-#,##0\ [$€-1]"/>
  </numFmts>
  <fonts count="9" x14ac:knownFonts="1">
    <font>
      <sz val="11"/>
      <color rgb="FF000000"/>
      <name val="Calibri"/>
    </font>
    <font>
      <sz val="11"/>
      <color rgb="FF000000"/>
      <name val="Calibri"/>
      <family val="2"/>
      <charset val="204"/>
    </font>
    <font>
      <b/>
      <sz val="9"/>
      <color indexed="81"/>
      <name val="Tahoma"/>
      <family val="2"/>
      <charset val="204"/>
    </font>
    <font>
      <sz val="11"/>
      <name val="Calibri"/>
      <family val="2"/>
      <charset val="204"/>
      <scheme val="minor"/>
    </font>
    <font>
      <sz val="11"/>
      <color rgb="FFC00000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11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6C3A0"/>
        <bgColor indexed="64"/>
      </patternFill>
    </fill>
    <fill>
      <patternFill patternType="solid">
        <fgColor rgb="FFFAD9C2"/>
        <bgColor indexed="64"/>
      </patternFill>
    </fill>
    <fill>
      <patternFill patternType="solid">
        <fgColor rgb="FFF1955D"/>
        <bgColor rgb="FF000000"/>
      </patternFill>
    </fill>
    <fill>
      <patternFill patternType="solid">
        <fgColor rgb="FFF3B2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5" fillId="0" borderId="0" applyNumberFormat="0" applyFill="0" applyBorder="0" applyAlignment="0" applyProtection="0"/>
  </cellStyleXfs>
  <cellXfs count="33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1"/>
    <xf numFmtId="0" fontId="4" fillId="0" borderId="0" xfId="1" applyFont="1" applyAlignment="1">
      <alignment horizontal="center" vertical="center"/>
    </xf>
    <xf numFmtId="0" fontId="0" fillId="0" borderId="0" xfId="0" applyFont="1" applyAlignment="1"/>
    <xf numFmtId="0" fontId="1" fillId="0" borderId="0" xfId="0" applyFont="1"/>
    <xf numFmtId="3" fontId="3" fillId="2" borderId="2" xfId="0" applyNumberFormat="1" applyFont="1" applyFill="1" applyBorder="1" applyAlignment="1">
      <alignment horizontal="center" vertical="center"/>
    </xf>
    <xf numFmtId="3" fontId="3" fillId="3" borderId="2" xfId="0" applyNumberFormat="1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/>
    </xf>
    <xf numFmtId="3" fontId="3" fillId="5" borderId="2" xfId="0" applyNumberFormat="1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3" fontId="3" fillId="5" borderId="2" xfId="0" applyNumberFormat="1" applyFont="1" applyFill="1" applyBorder="1" applyAlignment="1">
      <alignment horizontal="center" vertical="center" shrinkToFit="1"/>
    </xf>
    <xf numFmtId="3" fontId="3" fillId="2" borderId="2" xfId="0" applyNumberFormat="1" applyFont="1" applyFill="1" applyBorder="1" applyAlignment="1">
      <alignment horizontal="center" vertical="center" shrinkToFit="1"/>
    </xf>
    <xf numFmtId="3" fontId="3" fillId="3" borderId="2" xfId="0" applyNumberFormat="1" applyFont="1" applyFill="1" applyBorder="1" applyAlignment="1">
      <alignment horizontal="center" vertical="center" shrinkToFit="1"/>
    </xf>
    <xf numFmtId="49" fontId="1" fillId="0" borderId="0" xfId="0" applyNumberFormat="1" applyFont="1"/>
    <xf numFmtId="0" fontId="0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/>
    <xf numFmtId="0" fontId="0" fillId="0" borderId="0" xfId="0" applyAlignment="1">
      <alignment horizontal="center" vertical="center"/>
    </xf>
    <xf numFmtId="0" fontId="5" fillId="0" borderId="0" xfId="2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49" fontId="6" fillId="4" borderId="2" xfId="0" applyNumberFormat="1" applyFont="1" applyFill="1" applyBorder="1" applyAlignment="1">
      <alignment horizontal="center" vertical="center" shrinkToFit="1"/>
    </xf>
    <xf numFmtId="0" fontId="6" fillId="4" borderId="2" xfId="0" applyFont="1" applyFill="1" applyBorder="1" applyAlignment="1">
      <alignment horizontal="center" vertical="center" shrinkToFit="1"/>
    </xf>
    <xf numFmtId="3" fontId="3" fillId="2" borderId="7" xfId="0" applyNumberFormat="1" applyFont="1" applyFill="1" applyBorder="1" applyAlignment="1">
      <alignment horizontal="center" vertical="center" shrinkToFit="1"/>
    </xf>
    <xf numFmtId="0" fontId="7" fillId="6" borderId="2" xfId="0" applyFont="1" applyFill="1" applyBorder="1" applyAlignment="1">
      <alignment horizontal="center" vertical="center" shrinkToFit="1"/>
    </xf>
    <xf numFmtId="164" fontId="0" fillId="0" borderId="0" xfId="0" applyNumberFormat="1"/>
    <xf numFmtId="0" fontId="6" fillId="4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</cellXfs>
  <cellStyles count="3">
    <cellStyle name="Гиперссылка" xfId="2" builtinId="8"/>
    <cellStyle name="Обычный" xfId="0" builtinId="0"/>
    <cellStyle name="Обычный 2" xfId="1" xr:uid="{00000000-0005-0000-0000-000002000000}"/>
  </cellStyles>
  <dxfs count="51"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3B285"/>
      <color rgb="FFF1955D"/>
      <color rgb="FFF9D3B9"/>
      <color rgb="FFFAD9C2"/>
      <color rgb="FFF6C3A0"/>
      <color rgb="FFF5B88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7" totalsRowShown="0">
  <autoFilter ref="A1:C7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50"/>
    <tableColumn id="2" xr3:uid="{00000000-0010-0000-0000-000002000000}" name="Link" dataDxfId="49" dataCellStyle="Гиперссылка"/>
    <tableColumn id="3" xr3:uid="{00000000-0010-0000-0000-000003000000}" name="Description (single table, table set, mintage, prices):" dataDxfId="48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uro-coins.info/images/files/Tablitsa_raznovidnostey_monet_evro_UNC.pdf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www.euro-coins.info/info/mintage/italy.html" TargetMode="External"/><Relationship Id="rId1" Type="http://schemas.openxmlformats.org/officeDocument/2006/relationships/hyperlink" Target="https://en.ucoin.net/catalog/?country=italy" TargetMode="External"/><Relationship Id="rId6" Type="http://schemas.openxmlformats.org/officeDocument/2006/relationships/hyperlink" Target="http://www.eurocollection.co.uk/Variants.html" TargetMode="External"/><Relationship Id="rId5" Type="http://schemas.openxmlformats.org/officeDocument/2006/relationships/hyperlink" Target="http://www.eurocollection.co.uk/" TargetMode="External"/><Relationship Id="rId4" Type="http://schemas.openxmlformats.org/officeDocument/2006/relationships/hyperlink" Target="https://img-fotki.yandex.ru/get/6522/3621775.137/0_8f474_244963fb_ori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6"/>
  <sheetViews>
    <sheetView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A26" sqref="A25:G26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4" width="33.6328125" style="4" customWidth="1"/>
    <col min="5" max="5" width="12.6328125" style="4" customWidth="1"/>
    <col min="6" max="6" width="3.6328125" style="4" customWidth="1"/>
    <col min="7" max="7" width="12.6328125" style="4" customWidth="1"/>
  </cols>
  <sheetData>
    <row r="1" spans="1:9" ht="15" customHeight="1" x14ac:dyDescent="0.35">
      <c r="A1" s="28" t="s">
        <v>0</v>
      </c>
      <c r="B1" s="27"/>
      <c r="C1" s="30" t="s">
        <v>1</v>
      </c>
      <c r="D1" s="31"/>
      <c r="E1" s="8" t="s">
        <v>2</v>
      </c>
      <c r="F1" s="23" t="s">
        <v>3</v>
      </c>
      <c r="G1" s="2"/>
    </row>
    <row r="2" spans="1:9" ht="15" customHeight="1" x14ac:dyDescent="0.35">
      <c r="A2" s="29"/>
      <c r="B2" s="27" t="s">
        <v>128</v>
      </c>
      <c r="C2" s="7" t="s">
        <v>129</v>
      </c>
      <c r="D2" s="7" t="s">
        <v>130</v>
      </c>
      <c r="E2" s="9" t="s">
        <v>27</v>
      </c>
      <c r="F2" s="7" t="s">
        <v>27</v>
      </c>
      <c r="G2" s="2"/>
    </row>
    <row r="3" spans="1:9" ht="15" customHeight="1" x14ac:dyDescent="0.35">
      <c r="A3" s="10">
        <v>2002</v>
      </c>
      <c r="B3" s="11" t="s">
        <v>102</v>
      </c>
      <c r="C3" s="24" t="s">
        <v>101</v>
      </c>
      <c r="D3" s="12"/>
      <c r="E3" s="13" t="s">
        <v>28</v>
      </c>
      <c r="F3" s="1">
        <v>1</v>
      </c>
      <c r="G3" s="3" t="str">
        <f t="shared" ref="G3:G20" si="0">IF(OR(AND(F3&gt;1,F3&lt;&gt;"-")),"Can exchange","")</f>
        <v/>
      </c>
      <c r="I3" s="5"/>
    </row>
    <row r="4" spans="1:9" ht="15" customHeight="1" x14ac:dyDescent="0.35">
      <c r="A4" s="10">
        <v>2003</v>
      </c>
      <c r="B4" s="11" t="s">
        <v>102</v>
      </c>
      <c r="C4" s="24" t="s">
        <v>101</v>
      </c>
      <c r="D4" s="12"/>
      <c r="E4" s="13" t="s">
        <v>29</v>
      </c>
      <c r="F4" s="1">
        <v>0</v>
      </c>
      <c r="G4" s="3" t="str">
        <f t="shared" si="0"/>
        <v/>
      </c>
      <c r="I4" s="5"/>
    </row>
    <row r="5" spans="1:9" ht="15" customHeight="1" x14ac:dyDescent="0.35">
      <c r="A5" s="10">
        <v>2004</v>
      </c>
      <c r="B5" s="11" t="s">
        <v>102</v>
      </c>
      <c r="C5" s="24" t="s">
        <v>101</v>
      </c>
      <c r="D5" s="12"/>
      <c r="E5" s="13" t="s">
        <v>30</v>
      </c>
      <c r="F5" s="1">
        <v>0</v>
      </c>
      <c r="G5" s="3" t="str">
        <f t="shared" si="0"/>
        <v/>
      </c>
    </row>
    <row r="6" spans="1:9" ht="15" customHeight="1" x14ac:dyDescent="0.35">
      <c r="A6" s="10">
        <v>2005</v>
      </c>
      <c r="B6" s="11" t="s">
        <v>102</v>
      </c>
      <c r="C6" s="24" t="s">
        <v>101</v>
      </c>
      <c r="D6" s="12"/>
      <c r="E6" s="13" t="s">
        <v>31</v>
      </c>
      <c r="F6" s="1">
        <v>0</v>
      </c>
      <c r="G6" s="3" t="str">
        <f t="shared" si="0"/>
        <v/>
      </c>
    </row>
    <row r="7" spans="1:9" ht="15" customHeight="1" x14ac:dyDescent="0.35">
      <c r="A7" s="10">
        <v>2006</v>
      </c>
      <c r="B7" s="11" t="s">
        <v>102</v>
      </c>
      <c r="C7" s="24" t="s">
        <v>101</v>
      </c>
      <c r="D7" s="12"/>
      <c r="E7" s="13" t="s">
        <v>32</v>
      </c>
      <c r="F7" s="1">
        <v>0</v>
      </c>
      <c r="G7" s="3" t="str">
        <f t="shared" si="0"/>
        <v/>
      </c>
    </row>
    <row r="8" spans="1:9" ht="15" customHeight="1" x14ac:dyDescent="0.35">
      <c r="A8" s="10">
        <v>2007</v>
      </c>
      <c r="B8" s="11" t="s">
        <v>102</v>
      </c>
      <c r="C8" s="24" t="s">
        <v>101</v>
      </c>
      <c r="D8" s="12"/>
      <c r="E8" s="13" t="s">
        <v>33</v>
      </c>
      <c r="F8" s="1">
        <v>0</v>
      </c>
      <c r="G8" s="3" t="str">
        <f t="shared" si="0"/>
        <v/>
      </c>
    </row>
    <row r="9" spans="1:9" ht="15" customHeight="1" x14ac:dyDescent="0.35">
      <c r="A9" s="10">
        <v>2008</v>
      </c>
      <c r="B9" s="11" t="s">
        <v>102</v>
      </c>
      <c r="C9" s="24" t="s">
        <v>101</v>
      </c>
      <c r="D9" s="12"/>
      <c r="E9" s="13" t="s">
        <v>31</v>
      </c>
      <c r="F9" s="1">
        <v>0</v>
      </c>
      <c r="G9" s="3" t="str">
        <f t="shared" si="0"/>
        <v/>
      </c>
    </row>
    <row r="10" spans="1:9" ht="15" customHeight="1" x14ac:dyDescent="0.35">
      <c r="A10" s="10">
        <v>2009</v>
      </c>
      <c r="B10" s="11" t="s">
        <v>102</v>
      </c>
      <c r="C10" s="24" t="s">
        <v>101</v>
      </c>
      <c r="D10" s="12"/>
      <c r="E10" s="13" t="s">
        <v>34</v>
      </c>
      <c r="F10" s="1">
        <v>1</v>
      </c>
      <c r="G10" s="3" t="str">
        <f t="shared" si="0"/>
        <v/>
      </c>
    </row>
    <row r="11" spans="1:9" ht="15" customHeight="1" x14ac:dyDescent="0.35">
      <c r="A11" s="10">
        <v>2010</v>
      </c>
      <c r="B11" s="11" t="s">
        <v>102</v>
      </c>
      <c r="C11" s="24" t="s">
        <v>101</v>
      </c>
      <c r="D11" s="12"/>
      <c r="E11" s="13" t="s">
        <v>35</v>
      </c>
      <c r="F11" s="1">
        <v>0</v>
      </c>
      <c r="G11" s="3" t="str">
        <f t="shared" si="0"/>
        <v/>
      </c>
    </row>
    <row r="12" spans="1:9" ht="15" customHeight="1" x14ac:dyDescent="0.35">
      <c r="A12" s="10">
        <v>2011</v>
      </c>
      <c r="B12" s="11" t="s">
        <v>102</v>
      </c>
      <c r="C12" s="24" t="s">
        <v>101</v>
      </c>
      <c r="D12" s="12"/>
      <c r="E12" s="13" t="s">
        <v>36</v>
      </c>
      <c r="F12" s="1">
        <v>0</v>
      </c>
      <c r="G12" s="3" t="str">
        <f t="shared" si="0"/>
        <v/>
      </c>
    </row>
    <row r="13" spans="1:9" ht="15" customHeight="1" x14ac:dyDescent="0.35">
      <c r="A13" s="10">
        <v>2012</v>
      </c>
      <c r="B13" s="11" t="s">
        <v>102</v>
      </c>
      <c r="C13" s="24" t="s">
        <v>101</v>
      </c>
      <c r="D13" s="12"/>
      <c r="E13" s="13" t="s">
        <v>37</v>
      </c>
      <c r="F13" s="1">
        <v>0</v>
      </c>
      <c r="G13" s="3" t="str">
        <f t="shared" si="0"/>
        <v/>
      </c>
    </row>
    <row r="14" spans="1:9" ht="15" customHeight="1" x14ac:dyDescent="0.35">
      <c r="A14" s="10">
        <v>2013</v>
      </c>
      <c r="B14" s="11" t="s">
        <v>102</v>
      </c>
      <c r="C14" s="24" t="s">
        <v>101</v>
      </c>
      <c r="D14" s="12"/>
      <c r="E14" s="13" t="s">
        <v>38</v>
      </c>
      <c r="F14" s="1">
        <v>1</v>
      </c>
      <c r="G14" s="3" t="str">
        <f t="shared" si="0"/>
        <v/>
      </c>
    </row>
    <row r="15" spans="1:9" ht="15" customHeight="1" x14ac:dyDescent="0.35">
      <c r="A15" s="10">
        <v>2014</v>
      </c>
      <c r="B15" s="11" t="s">
        <v>102</v>
      </c>
      <c r="C15" s="24" t="s">
        <v>101</v>
      </c>
      <c r="D15" s="12"/>
      <c r="E15" s="13" t="s">
        <v>39</v>
      </c>
      <c r="F15" s="1">
        <v>0</v>
      </c>
      <c r="G15" s="3" t="str">
        <f t="shared" si="0"/>
        <v/>
      </c>
    </row>
    <row r="16" spans="1:9" ht="15" customHeight="1" x14ac:dyDescent="0.35">
      <c r="A16" s="10">
        <v>2015</v>
      </c>
      <c r="B16" s="11" t="s">
        <v>102</v>
      </c>
      <c r="C16" s="24" t="s">
        <v>101</v>
      </c>
      <c r="D16" s="12"/>
      <c r="E16" s="13" t="s">
        <v>40</v>
      </c>
      <c r="F16" s="1">
        <v>0</v>
      </c>
      <c r="G16" s="3" t="str">
        <f t="shared" si="0"/>
        <v/>
      </c>
    </row>
    <row r="17" spans="1:7" ht="15" customHeight="1" x14ac:dyDescent="0.35">
      <c r="A17" s="10">
        <v>2016</v>
      </c>
      <c r="B17" s="11" t="s">
        <v>102</v>
      </c>
      <c r="C17" s="24" t="s">
        <v>101</v>
      </c>
      <c r="D17" s="12"/>
      <c r="E17" s="13" t="s">
        <v>41</v>
      </c>
      <c r="F17" s="1">
        <v>0</v>
      </c>
      <c r="G17" s="3" t="str">
        <f t="shared" si="0"/>
        <v/>
      </c>
    </row>
    <row r="18" spans="1:7" ht="15" customHeight="1" x14ac:dyDescent="0.35">
      <c r="A18" s="10">
        <v>2017</v>
      </c>
      <c r="B18" s="11" t="s">
        <v>102</v>
      </c>
      <c r="C18" s="24" t="s">
        <v>101</v>
      </c>
      <c r="D18" s="12"/>
      <c r="E18" s="13" t="s">
        <v>42</v>
      </c>
      <c r="F18" s="1">
        <v>0</v>
      </c>
      <c r="G18" s="3" t="str">
        <f t="shared" si="0"/>
        <v/>
      </c>
    </row>
    <row r="19" spans="1:7" ht="15" customHeight="1" x14ac:dyDescent="0.35">
      <c r="A19" s="10">
        <v>2018</v>
      </c>
      <c r="B19" s="11" t="s">
        <v>102</v>
      </c>
      <c r="C19" s="24" t="s">
        <v>101</v>
      </c>
      <c r="D19" s="12"/>
      <c r="E19" s="25" t="s">
        <v>112</v>
      </c>
      <c r="F19" s="1" t="s">
        <v>110</v>
      </c>
      <c r="G19" s="3" t="str">
        <f t="shared" si="0"/>
        <v/>
      </c>
    </row>
    <row r="20" spans="1:7" ht="15" customHeight="1" x14ac:dyDescent="0.35">
      <c r="A20" s="10">
        <v>2019</v>
      </c>
      <c r="B20" s="11" t="s">
        <v>102</v>
      </c>
      <c r="C20" s="24" t="s">
        <v>101</v>
      </c>
      <c r="D20" s="12"/>
      <c r="E20" s="25" t="s">
        <v>111</v>
      </c>
      <c r="F20" s="1" t="s">
        <v>110</v>
      </c>
      <c r="G20" s="3" t="str">
        <f t="shared" si="0"/>
        <v/>
      </c>
    </row>
    <row r="21" spans="1:7" ht="15" customHeight="1" x14ac:dyDescent="0.35">
      <c r="A21" s="10">
        <v>2020</v>
      </c>
      <c r="B21" s="11" t="s">
        <v>102</v>
      </c>
      <c r="C21" s="24" t="s">
        <v>101</v>
      </c>
      <c r="D21" s="12"/>
      <c r="E21" s="25" t="s">
        <v>113</v>
      </c>
      <c r="F21" s="1" t="s">
        <v>110</v>
      </c>
      <c r="G21" s="3" t="str">
        <f t="shared" ref="G21" si="1">IF(OR(AND(F21&gt;1,F21&lt;&gt;"-")),"Can exchange","")</f>
        <v/>
      </c>
    </row>
    <row r="22" spans="1:7" ht="15" customHeight="1" x14ac:dyDescent="0.35">
      <c r="A22" s="10">
        <v>2021</v>
      </c>
      <c r="B22" s="11" t="s">
        <v>102</v>
      </c>
      <c r="C22" s="24" t="s">
        <v>101</v>
      </c>
      <c r="D22" s="12"/>
      <c r="E22" s="25" t="s">
        <v>123</v>
      </c>
      <c r="F22" s="1" t="s">
        <v>110</v>
      </c>
      <c r="G22" s="3" t="str">
        <f t="shared" ref="G22:G24" si="2">IF(OR(AND(F22&gt;1,F22&lt;&gt;"-")),"Can exchange","")</f>
        <v/>
      </c>
    </row>
    <row r="23" spans="1:7" ht="15" customHeight="1" x14ac:dyDescent="0.35">
      <c r="A23" s="10">
        <v>2022</v>
      </c>
      <c r="B23" s="11" t="s">
        <v>102</v>
      </c>
      <c r="C23" s="24" t="s">
        <v>101</v>
      </c>
      <c r="D23" s="12"/>
      <c r="E23" s="25" t="s">
        <v>126</v>
      </c>
      <c r="F23" s="1" t="s">
        <v>110</v>
      </c>
      <c r="G23" s="3" t="str">
        <f t="shared" si="2"/>
        <v/>
      </c>
    </row>
    <row r="24" spans="1:7" ht="15" customHeight="1" x14ac:dyDescent="0.35">
      <c r="A24" s="10">
        <v>2023</v>
      </c>
      <c r="B24" s="11" t="s">
        <v>102</v>
      </c>
      <c r="C24" s="24" t="s">
        <v>101</v>
      </c>
      <c r="D24" s="12"/>
      <c r="E24" s="25" t="s">
        <v>112</v>
      </c>
      <c r="F24" s="1" t="s">
        <v>110</v>
      </c>
      <c r="G24" s="3" t="str">
        <f t="shared" si="2"/>
        <v/>
      </c>
    </row>
    <row r="25" spans="1:7" ht="15" customHeight="1" x14ac:dyDescent="0.35">
      <c r="A25" s="10">
        <v>2024</v>
      </c>
      <c r="B25" s="11" t="s">
        <v>102</v>
      </c>
      <c r="C25" s="24" t="s">
        <v>101</v>
      </c>
      <c r="D25" s="12"/>
      <c r="E25" s="25" t="s">
        <v>133</v>
      </c>
      <c r="F25" s="1" t="s">
        <v>110</v>
      </c>
      <c r="G25" s="3" t="str">
        <f t="shared" ref="G25:G26" si="3">IF(OR(AND(F25&gt;1,F25&lt;&gt;"-")),"Can exchange","")</f>
        <v/>
      </c>
    </row>
    <row r="26" spans="1:7" ht="15" customHeight="1" x14ac:dyDescent="0.35">
      <c r="A26" s="10">
        <v>2025</v>
      </c>
      <c r="B26" s="11" t="s">
        <v>102</v>
      </c>
      <c r="C26" s="24" t="s">
        <v>101</v>
      </c>
      <c r="D26" s="12"/>
      <c r="E26" s="25" t="s">
        <v>134</v>
      </c>
      <c r="F26" s="1" t="s">
        <v>110</v>
      </c>
      <c r="G26" s="3" t="str">
        <f t="shared" si="3"/>
        <v/>
      </c>
    </row>
  </sheetData>
  <autoFilter ref="B2:E2" xr:uid="{00000000-0001-0000-0000-000000000000}"/>
  <mergeCells count="2">
    <mergeCell ref="A1:A2"/>
    <mergeCell ref="C1:D1"/>
  </mergeCells>
  <phoneticPr fontId="8" type="noConversion"/>
  <conditionalFormatting sqref="F3:F18">
    <cfRule type="containsText" dxfId="45" priority="9" operator="containsText" text="*-">
      <formula>NOT(ISERROR(SEARCH(("*-"),(F3))))</formula>
    </cfRule>
  </conditionalFormatting>
  <conditionalFormatting sqref="F3:F18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9">
    <cfRule type="containsText" dxfId="44" priority="7" operator="containsText" text="*-">
      <formula>NOT(ISERROR(SEARCH(("*-"),(F19))))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0">
    <cfRule type="containsText" dxfId="43" priority="5" operator="containsText" text="*-">
      <formula>NOT(ISERROR(SEARCH(("*-"),(F20))))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1:F24">
    <cfRule type="containsText" dxfId="42" priority="3" operator="containsText" text="*-">
      <formula>NOT(ISERROR(SEARCH(("*-"),(F21))))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5:F26">
    <cfRule type="containsText" dxfId="41" priority="1" operator="containsText" text="*-">
      <formula>NOT(ISERROR(SEARCH(("*-"),(F25))))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6"/>
  <sheetViews>
    <sheetView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A25" sqref="A25:G26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4" width="33.6328125" style="4" customWidth="1"/>
    <col min="5" max="5" width="12.6328125" style="4" customWidth="1"/>
    <col min="6" max="6" width="3.6328125" style="4" customWidth="1"/>
    <col min="7" max="7" width="12.6328125" style="4" customWidth="1"/>
  </cols>
  <sheetData>
    <row r="1" spans="1:9" ht="15" customHeight="1" x14ac:dyDescent="0.35">
      <c r="A1" s="28" t="s">
        <v>0</v>
      </c>
      <c r="B1" s="27"/>
      <c r="C1" s="30" t="s">
        <v>1</v>
      </c>
      <c r="D1" s="31"/>
      <c r="E1" s="8" t="s">
        <v>2</v>
      </c>
      <c r="F1" s="23" t="s">
        <v>4</v>
      </c>
      <c r="G1" s="2"/>
    </row>
    <row r="2" spans="1:9" ht="15" customHeight="1" x14ac:dyDescent="0.35">
      <c r="A2" s="29"/>
      <c r="B2" s="27" t="s">
        <v>128</v>
      </c>
      <c r="C2" s="7" t="s">
        <v>129</v>
      </c>
      <c r="D2" s="7" t="s">
        <v>130</v>
      </c>
      <c r="E2" s="9" t="s">
        <v>27</v>
      </c>
      <c r="F2" s="7" t="s">
        <v>27</v>
      </c>
      <c r="G2" s="2"/>
    </row>
    <row r="3" spans="1:9" ht="15" customHeight="1" x14ac:dyDescent="0.35">
      <c r="A3" s="10">
        <v>2002</v>
      </c>
      <c r="B3" s="11" t="s">
        <v>103</v>
      </c>
      <c r="C3" s="24" t="s">
        <v>101</v>
      </c>
      <c r="D3" s="6"/>
      <c r="E3" s="13" t="s">
        <v>43</v>
      </c>
      <c r="F3" s="1">
        <v>1</v>
      </c>
      <c r="G3" s="3" t="str">
        <f t="shared" ref="G3:G21" si="0">IF(OR(AND(F3&gt;1,F3&lt;&gt;"-")),"Can exchange","")</f>
        <v/>
      </c>
      <c r="I3" s="5"/>
    </row>
    <row r="4" spans="1:9" ht="15" customHeight="1" x14ac:dyDescent="0.35">
      <c r="A4" s="10">
        <v>2003</v>
      </c>
      <c r="B4" s="11" t="s">
        <v>103</v>
      </c>
      <c r="C4" s="24" t="s">
        <v>101</v>
      </c>
      <c r="D4" s="6"/>
      <c r="E4" s="13" t="s">
        <v>44</v>
      </c>
      <c r="F4" s="1">
        <v>0</v>
      </c>
      <c r="G4" s="3" t="str">
        <f t="shared" si="0"/>
        <v/>
      </c>
      <c r="I4" s="5"/>
    </row>
    <row r="5" spans="1:9" ht="15" customHeight="1" x14ac:dyDescent="0.35">
      <c r="A5" s="10">
        <v>2004</v>
      </c>
      <c r="B5" s="11" t="s">
        <v>103</v>
      </c>
      <c r="C5" s="24" t="s">
        <v>101</v>
      </c>
      <c r="D5" s="6"/>
      <c r="E5" s="13" t="s">
        <v>45</v>
      </c>
      <c r="F5" s="1">
        <v>0</v>
      </c>
      <c r="G5" s="3" t="str">
        <f t="shared" si="0"/>
        <v/>
      </c>
    </row>
    <row r="6" spans="1:9" ht="15" customHeight="1" x14ac:dyDescent="0.35">
      <c r="A6" s="10">
        <v>2005</v>
      </c>
      <c r="B6" s="11" t="s">
        <v>103</v>
      </c>
      <c r="C6" s="24" t="s">
        <v>101</v>
      </c>
      <c r="D6" s="6"/>
      <c r="E6" s="13" t="s">
        <v>45</v>
      </c>
      <c r="F6" s="1">
        <v>1</v>
      </c>
      <c r="G6" s="3" t="str">
        <f t="shared" si="0"/>
        <v/>
      </c>
    </row>
    <row r="7" spans="1:9" ht="15" customHeight="1" x14ac:dyDescent="0.35">
      <c r="A7" s="10">
        <v>2006</v>
      </c>
      <c r="B7" s="11" t="s">
        <v>103</v>
      </c>
      <c r="C7" s="24" t="s">
        <v>101</v>
      </c>
      <c r="D7" s="6"/>
      <c r="E7" s="13" t="s">
        <v>46</v>
      </c>
      <c r="F7" s="1">
        <v>0</v>
      </c>
      <c r="G7" s="3" t="str">
        <f t="shared" si="0"/>
        <v/>
      </c>
    </row>
    <row r="8" spans="1:9" ht="15" customHeight="1" x14ac:dyDescent="0.35">
      <c r="A8" s="10">
        <v>2007</v>
      </c>
      <c r="B8" s="11" t="s">
        <v>103</v>
      </c>
      <c r="C8" s="24" t="s">
        <v>101</v>
      </c>
      <c r="D8" s="6"/>
      <c r="E8" s="13" t="s">
        <v>47</v>
      </c>
      <c r="F8" s="1">
        <v>0</v>
      </c>
      <c r="G8" s="3" t="str">
        <f t="shared" si="0"/>
        <v/>
      </c>
    </row>
    <row r="9" spans="1:9" ht="15" customHeight="1" x14ac:dyDescent="0.35">
      <c r="A9" s="10">
        <v>2008</v>
      </c>
      <c r="B9" s="11" t="s">
        <v>103</v>
      </c>
      <c r="C9" s="24" t="s">
        <v>101</v>
      </c>
      <c r="D9" s="6"/>
      <c r="E9" s="13" t="s">
        <v>48</v>
      </c>
      <c r="F9" s="1">
        <v>0</v>
      </c>
      <c r="G9" s="3" t="str">
        <f t="shared" si="0"/>
        <v/>
      </c>
    </row>
    <row r="10" spans="1:9" ht="15" customHeight="1" x14ac:dyDescent="0.35">
      <c r="A10" s="10">
        <v>2009</v>
      </c>
      <c r="B10" s="11" t="s">
        <v>103</v>
      </c>
      <c r="C10" s="24" t="s">
        <v>101</v>
      </c>
      <c r="D10" s="6"/>
      <c r="E10" s="13" t="s">
        <v>49</v>
      </c>
      <c r="F10" s="1">
        <v>0</v>
      </c>
      <c r="G10" s="3" t="str">
        <f t="shared" si="0"/>
        <v/>
      </c>
    </row>
    <row r="11" spans="1:9" ht="15" customHeight="1" x14ac:dyDescent="0.35">
      <c r="A11" s="10">
        <v>2010</v>
      </c>
      <c r="B11" s="11" t="s">
        <v>103</v>
      </c>
      <c r="C11" s="24" t="s">
        <v>101</v>
      </c>
      <c r="D11" s="6"/>
      <c r="E11" s="13" t="s">
        <v>50</v>
      </c>
      <c r="F11" s="1">
        <v>0</v>
      </c>
      <c r="G11" s="3" t="str">
        <f t="shared" si="0"/>
        <v/>
      </c>
    </row>
    <row r="12" spans="1:9" ht="15" customHeight="1" x14ac:dyDescent="0.35">
      <c r="A12" s="10">
        <v>2011</v>
      </c>
      <c r="B12" s="11" t="s">
        <v>103</v>
      </c>
      <c r="C12" s="24" t="s">
        <v>101</v>
      </c>
      <c r="D12" s="6"/>
      <c r="E12" s="13" t="s">
        <v>51</v>
      </c>
      <c r="F12" s="1">
        <v>0</v>
      </c>
      <c r="G12" s="3" t="str">
        <f t="shared" si="0"/>
        <v/>
      </c>
    </row>
    <row r="13" spans="1:9" ht="15" customHeight="1" x14ac:dyDescent="0.35">
      <c r="A13" s="10">
        <v>2012</v>
      </c>
      <c r="B13" s="11" t="s">
        <v>103</v>
      </c>
      <c r="C13" s="24" t="s">
        <v>101</v>
      </c>
      <c r="D13" s="6"/>
      <c r="E13" s="13" t="s">
        <v>52</v>
      </c>
      <c r="F13" s="1">
        <v>0</v>
      </c>
      <c r="G13" s="3" t="str">
        <f t="shared" si="0"/>
        <v/>
      </c>
    </row>
    <row r="14" spans="1:9" ht="15" customHeight="1" x14ac:dyDescent="0.35">
      <c r="A14" s="10">
        <v>2013</v>
      </c>
      <c r="B14" s="11" t="s">
        <v>103</v>
      </c>
      <c r="C14" s="24" t="s">
        <v>101</v>
      </c>
      <c r="D14" s="6"/>
      <c r="E14" s="13" t="s">
        <v>39</v>
      </c>
      <c r="F14" s="1">
        <v>0</v>
      </c>
      <c r="G14" s="3" t="str">
        <f t="shared" si="0"/>
        <v/>
      </c>
    </row>
    <row r="15" spans="1:9" ht="15" customHeight="1" x14ac:dyDescent="0.35">
      <c r="A15" s="10">
        <v>2014</v>
      </c>
      <c r="B15" s="11" t="s">
        <v>103</v>
      </c>
      <c r="C15" s="24" t="s">
        <v>101</v>
      </c>
      <c r="D15" s="6"/>
      <c r="E15" s="13" t="s">
        <v>53</v>
      </c>
      <c r="F15" s="1">
        <v>0</v>
      </c>
      <c r="G15" s="3" t="str">
        <f t="shared" si="0"/>
        <v/>
      </c>
    </row>
    <row r="16" spans="1:9" ht="15" customHeight="1" x14ac:dyDescent="0.35">
      <c r="A16" s="10">
        <v>2015</v>
      </c>
      <c r="B16" s="11" t="s">
        <v>103</v>
      </c>
      <c r="C16" s="24" t="s">
        <v>101</v>
      </c>
      <c r="D16" s="6"/>
      <c r="E16" s="13" t="s">
        <v>45</v>
      </c>
      <c r="F16" s="1">
        <v>0</v>
      </c>
      <c r="G16" s="3" t="str">
        <f t="shared" si="0"/>
        <v/>
      </c>
    </row>
    <row r="17" spans="1:7" ht="15" customHeight="1" x14ac:dyDescent="0.35">
      <c r="A17" s="10">
        <v>2016</v>
      </c>
      <c r="B17" s="11" t="s">
        <v>103</v>
      </c>
      <c r="C17" s="24" t="s">
        <v>101</v>
      </c>
      <c r="D17" s="6"/>
      <c r="E17" s="13" t="s">
        <v>47</v>
      </c>
      <c r="F17" s="1">
        <v>0</v>
      </c>
      <c r="G17" s="3" t="str">
        <f t="shared" si="0"/>
        <v/>
      </c>
    </row>
    <row r="18" spans="1:7" ht="15" customHeight="1" x14ac:dyDescent="0.35">
      <c r="A18" s="10">
        <v>2017</v>
      </c>
      <c r="B18" s="11" t="s">
        <v>103</v>
      </c>
      <c r="C18" s="24" t="s">
        <v>101</v>
      </c>
      <c r="D18" s="6"/>
      <c r="E18" s="13" t="s">
        <v>39</v>
      </c>
      <c r="F18" s="1">
        <v>0</v>
      </c>
      <c r="G18" s="3" t="str">
        <f t="shared" si="0"/>
        <v/>
      </c>
    </row>
    <row r="19" spans="1:7" ht="15" customHeight="1" x14ac:dyDescent="0.35">
      <c r="A19" s="10">
        <v>2018</v>
      </c>
      <c r="B19" s="11" t="s">
        <v>103</v>
      </c>
      <c r="C19" s="24" t="s">
        <v>101</v>
      </c>
      <c r="D19" s="12"/>
      <c r="E19" s="25" t="s">
        <v>112</v>
      </c>
      <c r="F19" s="1" t="s">
        <v>110</v>
      </c>
      <c r="G19" s="3" t="str">
        <f t="shared" si="0"/>
        <v/>
      </c>
    </row>
    <row r="20" spans="1:7" ht="15" customHeight="1" x14ac:dyDescent="0.35">
      <c r="A20" s="10">
        <v>2019</v>
      </c>
      <c r="B20" s="11" t="s">
        <v>103</v>
      </c>
      <c r="C20" s="24" t="s">
        <v>101</v>
      </c>
      <c r="D20" s="12"/>
      <c r="E20" s="25" t="s">
        <v>111</v>
      </c>
      <c r="F20" s="1" t="s">
        <v>110</v>
      </c>
      <c r="G20" s="3" t="str">
        <f t="shared" si="0"/>
        <v/>
      </c>
    </row>
    <row r="21" spans="1:7" ht="15" customHeight="1" x14ac:dyDescent="0.35">
      <c r="A21" s="10">
        <v>2020</v>
      </c>
      <c r="B21" s="11" t="s">
        <v>103</v>
      </c>
      <c r="C21" s="24" t="s">
        <v>101</v>
      </c>
      <c r="D21" s="12"/>
      <c r="E21" s="25" t="s">
        <v>113</v>
      </c>
      <c r="F21" s="1" t="s">
        <v>110</v>
      </c>
      <c r="G21" s="3" t="str">
        <f t="shared" si="0"/>
        <v/>
      </c>
    </row>
    <row r="22" spans="1:7" ht="15" customHeight="1" x14ac:dyDescent="0.35">
      <c r="A22" s="10">
        <v>2021</v>
      </c>
      <c r="B22" s="11" t="s">
        <v>103</v>
      </c>
      <c r="C22" s="24" t="s">
        <v>101</v>
      </c>
      <c r="D22" s="12"/>
      <c r="E22" s="25" t="s">
        <v>123</v>
      </c>
      <c r="F22" s="1" t="s">
        <v>110</v>
      </c>
      <c r="G22" s="3" t="str">
        <f t="shared" ref="G22:G26" si="1">IF(OR(AND(F22&gt;1,F22&lt;&gt;"-")),"Can exchange","")</f>
        <v/>
      </c>
    </row>
    <row r="23" spans="1:7" ht="15" customHeight="1" x14ac:dyDescent="0.35">
      <c r="A23" s="10">
        <v>2022</v>
      </c>
      <c r="B23" s="11" t="s">
        <v>103</v>
      </c>
      <c r="C23" s="24" t="s">
        <v>101</v>
      </c>
      <c r="D23" s="12"/>
      <c r="E23" s="25" t="s">
        <v>126</v>
      </c>
      <c r="F23" s="1" t="s">
        <v>110</v>
      </c>
      <c r="G23" s="3" t="str">
        <f t="shared" si="1"/>
        <v/>
      </c>
    </row>
    <row r="24" spans="1:7" ht="15" customHeight="1" x14ac:dyDescent="0.35">
      <c r="A24" s="10">
        <v>2023</v>
      </c>
      <c r="B24" s="11" t="s">
        <v>103</v>
      </c>
      <c r="C24" s="24" t="s">
        <v>101</v>
      </c>
      <c r="D24" s="12"/>
      <c r="E24" s="25" t="s">
        <v>112</v>
      </c>
      <c r="F24" s="1" t="s">
        <v>110</v>
      </c>
      <c r="G24" s="3" t="str">
        <f t="shared" si="1"/>
        <v/>
      </c>
    </row>
    <row r="25" spans="1:7" ht="15" customHeight="1" x14ac:dyDescent="0.35">
      <c r="A25" s="10">
        <v>2024</v>
      </c>
      <c r="B25" s="11" t="s">
        <v>102</v>
      </c>
      <c r="C25" s="24" t="s">
        <v>101</v>
      </c>
      <c r="D25" s="12"/>
      <c r="E25" s="25" t="s">
        <v>133</v>
      </c>
      <c r="F25" s="1" t="s">
        <v>110</v>
      </c>
      <c r="G25" s="3" t="str">
        <f t="shared" si="1"/>
        <v/>
      </c>
    </row>
    <row r="26" spans="1:7" ht="15" customHeight="1" x14ac:dyDescent="0.35">
      <c r="A26" s="10">
        <v>2025</v>
      </c>
      <c r="B26" s="11" t="s">
        <v>102</v>
      </c>
      <c r="C26" s="24" t="s">
        <v>101</v>
      </c>
      <c r="D26" s="12"/>
      <c r="E26" s="25" t="s">
        <v>134</v>
      </c>
      <c r="F26" s="1" t="s">
        <v>110</v>
      </c>
      <c r="G26" s="3" t="str">
        <f t="shared" si="1"/>
        <v/>
      </c>
    </row>
  </sheetData>
  <autoFilter ref="B2:E2" xr:uid="{00000000-0001-0000-0100-000000000000}"/>
  <mergeCells count="2">
    <mergeCell ref="A1:A2"/>
    <mergeCell ref="C1:D1"/>
  </mergeCells>
  <phoneticPr fontId="8" type="noConversion"/>
  <conditionalFormatting sqref="F3:F18">
    <cfRule type="containsText" dxfId="40" priority="9" operator="containsText" text="*-">
      <formula>NOT(ISERROR(SEARCH(("*-"),(F3))))</formula>
    </cfRule>
  </conditionalFormatting>
  <conditionalFormatting sqref="F3:F18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9">
    <cfRule type="containsText" dxfId="39" priority="7" operator="containsText" text="*-">
      <formula>NOT(ISERROR(SEARCH(("*-"),(F19))))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0">
    <cfRule type="containsText" dxfId="38" priority="5" operator="containsText" text="*-">
      <formula>NOT(ISERROR(SEARCH(("*-"),(F20))))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1:F24">
    <cfRule type="containsText" dxfId="37" priority="3" operator="containsText" text="*-">
      <formula>NOT(ISERROR(SEARCH(("*-"),(F21))))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5:F26">
    <cfRule type="containsText" dxfId="36" priority="1" operator="containsText" text="*-">
      <formula>NOT(ISERROR(SEARCH(("*-"),(F25))))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6"/>
  <sheetViews>
    <sheetView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E26" sqref="E26:G26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4" width="33.6328125" style="4" customWidth="1"/>
    <col min="5" max="5" width="12.6328125" style="4" customWidth="1"/>
    <col min="6" max="6" width="3.6328125" style="4" customWidth="1"/>
    <col min="7" max="7" width="12.6328125" style="4" customWidth="1"/>
  </cols>
  <sheetData>
    <row r="1" spans="1:9" ht="15" customHeight="1" x14ac:dyDescent="0.35">
      <c r="A1" s="28" t="s">
        <v>0</v>
      </c>
      <c r="B1" s="27"/>
      <c r="C1" s="30" t="s">
        <v>1</v>
      </c>
      <c r="D1" s="31"/>
      <c r="E1" s="8" t="s">
        <v>2</v>
      </c>
      <c r="F1" s="23" t="s">
        <v>5</v>
      </c>
      <c r="G1" s="2"/>
    </row>
    <row r="2" spans="1:9" ht="15" customHeight="1" x14ac:dyDescent="0.35">
      <c r="A2" s="29"/>
      <c r="B2" s="27" t="s">
        <v>128</v>
      </c>
      <c r="C2" s="7" t="s">
        <v>129</v>
      </c>
      <c r="D2" s="7" t="s">
        <v>130</v>
      </c>
      <c r="E2" s="9" t="s">
        <v>27</v>
      </c>
      <c r="F2" s="7" t="s">
        <v>27</v>
      </c>
      <c r="G2" s="2"/>
    </row>
    <row r="3" spans="1:9" ht="15" customHeight="1" x14ac:dyDescent="0.35">
      <c r="A3" s="10">
        <v>2002</v>
      </c>
      <c r="B3" s="11" t="s">
        <v>104</v>
      </c>
      <c r="C3" s="24" t="s">
        <v>101</v>
      </c>
      <c r="D3" s="6"/>
      <c r="E3" s="13" t="s">
        <v>54</v>
      </c>
      <c r="F3" s="1">
        <v>1</v>
      </c>
      <c r="G3" s="3" t="str">
        <f t="shared" ref="G3:G20" si="0">IF(OR(AND(F3&gt;1,F3&lt;&gt;"-")),"Can exchange","")</f>
        <v/>
      </c>
      <c r="I3" s="5"/>
    </row>
    <row r="4" spans="1:9" ht="15" customHeight="1" x14ac:dyDescent="0.35">
      <c r="A4" s="10">
        <v>2003</v>
      </c>
      <c r="B4" s="11" t="s">
        <v>104</v>
      </c>
      <c r="C4" s="24" t="s">
        <v>101</v>
      </c>
      <c r="D4" s="6"/>
      <c r="E4" s="13" t="s">
        <v>55</v>
      </c>
      <c r="F4" s="1">
        <v>0</v>
      </c>
      <c r="G4" s="3" t="str">
        <f t="shared" si="0"/>
        <v/>
      </c>
      <c r="I4" s="5"/>
    </row>
    <row r="5" spans="1:9" ht="15" customHeight="1" x14ac:dyDescent="0.35">
      <c r="A5" s="10">
        <v>2004</v>
      </c>
      <c r="B5" s="11" t="s">
        <v>104</v>
      </c>
      <c r="C5" s="24" t="s">
        <v>101</v>
      </c>
      <c r="D5" s="6"/>
      <c r="E5" s="13" t="s">
        <v>56</v>
      </c>
      <c r="F5" s="1">
        <v>0</v>
      </c>
      <c r="G5" s="3" t="str">
        <f t="shared" si="0"/>
        <v/>
      </c>
    </row>
    <row r="6" spans="1:9" ht="15" customHeight="1" x14ac:dyDescent="0.35">
      <c r="A6" s="10">
        <v>2005</v>
      </c>
      <c r="B6" s="11" t="s">
        <v>104</v>
      </c>
      <c r="C6" s="24" t="s">
        <v>101</v>
      </c>
      <c r="D6" s="6"/>
      <c r="E6" s="13" t="s">
        <v>57</v>
      </c>
      <c r="F6" s="1">
        <v>0</v>
      </c>
      <c r="G6" s="3" t="str">
        <f t="shared" si="0"/>
        <v/>
      </c>
    </row>
    <row r="7" spans="1:9" ht="15" customHeight="1" x14ac:dyDescent="0.35">
      <c r="A7" s="10">
        <v>2006</v>
      </c>
      <c r="B7" s="11" t="s">
        <v>104</v>
      </c>
      <c r="C7" s="24" t="s">
        <v>101</v>
      </c>
      <c r="D7" s="6"/>
      <c r="E7" s="13" t="s">
        <v>58</v>
      </c>
      <c r="F7" s="1">
        <v>0</v>
      </c>
      <c r="G7" s="3" t="str">
        <f t="shared" si="0"/>
        <v/>
      </c>
    </row>
    <row r="8" spans="1:9" ht="15" customHeight="1" x14ac:dyDescent="0.35">
      <c r="A8" s="10">
        <v>2007</v>
      </c>
      <c r="B8" s="11" t="s">
        <v>104</v>
      </c>
      <c r="C8" s="24" t="s">
        <v>101</v>
      </c>
      <c r="D8" s="6"/>
      <c r="E8" s="13" t="s">
        <v>59</v>
      </c>
      <c r="F8" s="1">
        <v>0</v>
      </c>
      <c r="G8" s="3" t="str">
        <f t="shared" si="0"/>
        <v/>
      </c>
    </row>
    <row r="9" spans="1:9" ht="15" customHeight="1" x14ac:dyDescent="0.35">
      <c r="A9" s="10">
        <v>2008</v>
      </c>
      <c r="B9" s="11" t="s">
        <v>104</v>
      </c>
      <c r="C9" s="24" t="s">
        <v>101</v>
      </c>
      <c r="D9" s="6"/>
      <c r="E9" s="13" t="s">
        <v>60</v>
      </c>
      <c r="F9" s="1">
        <v>0</v>
      </c>
      <c r="G9" s="3" t="str">
        <f t="shared" si="0"/>
        <v/>
      </c>
    </row>
    <row r="10" spans="1:9" ht="15" customHeight="1" x14ac:dyDescent="0.35">
      <c r="A10" s="10">
        <v>2009</v>
      </c>
      <c r="B10" s="11" t="s">
        <v>104</v>
      </c>
      <c r="C10" s="24" t="s">
        <v>101</v>
      </c>
      <c r="D10" s="6"/>
      <c r="E10" s="13" t="s">
        <v>59</v>
      </c>
      <c r="F10" s="1">
        <v>0</v>
      </c>
      <c r="G10" s="3" t="str">
        <f t="shared" si="0"/>
        <v/>
      </c>
    </row>
    <row r="11" spans="1:9" ht="15" customHeight="1" x14ac:dyDescent="0.35">
      <c r="A11" s="10">
        <v>2010</v>
      </c>
      <c r="B11" s="11" t="s">
        <v>104</v>
      </c>
      <c r="C11" s="24" t="s">
        <v>101</v>
      </c>
      <c r="D11" s="6"/>
      <c r="E11" s="13" t="s">
        <v>61</v>
      </c>
      <c r="F11" s="1">
        <v>0</v>
      </c>
      <c r="G11" s="3" t="str">
        <f t="shared" si="0"/>
        <v/>
      </c>
    </row>
    <row r="12" spans="1:9" ht="15" customHeight="1" x14ac:dyDescent="0.35">
      <c r="A12" s="10">
        <v>2011</v>
      </c>
      <c r="B12" s="11" t="s">
        <v>104</v>
      </c>
      <c r="C12" s="24" t="s">
        <v>101</v>
      </c>
      <c r="D12" s="6"/>
      <c r="E12" s="13" t="s">
        <v>62</v>
      </c>
      <c r="F12" s="1">
        <v>0</v>
      </c>
      <c r="G12" s="3" t="str">
        <f t="shared" si="0"/>
        <v/>
      </c>
    </row>
    <row r="13" spans="1:9" ht="15" customHeight="1" x14ac:dyDescent="0.35">
      <c r="A13" s="10">
        <v>2012</v>
      </c>
      <c r="B13" s="11" t="s">
        <v>104</v>
      </c>
      <c r="C13" s="24" t="s">
        <v>101</v>
      </c>
      <c r="D13" s="6"/>
      <c r="E13" s="13" t="s">
        <v>63</v>
      </c>
      <c r="F13" s="1">
        <v>0</v>
      </c>
      <c r="G13" s="3" t="str">
        <f t="shared" si="0"/>
        <v/>
      </c>
    </row>
    <row r="14" spans="1:9" ht="15" customHeight="1" x14ac:dyDescent="0.35">
      <c r="A14" s="10">
        <v>2013</v>
      </c>
      <c r="B14" s="11" t="s">
        <v>104</v>
      </c>
      <c r="C14" s="24" t="s">
        <v>101</v>
      </c>
      <c r="D14" s="6"/>
      <c r="E14" s="13" t="s">
        <v>52</v>
      </c>
      <c r="F14" s="1">
        <v>0</v>
      </c>
      <c r="G14" s="3" t="str">
        <f t="shared" si="0"/>
        <v/>
      </c>
    </row>
    <row r="15" spans="1:9" ht="15" customHeight="1" x14ac:dyDescent="0.35">
      <c r="A15" s="10">
        <v>2014</v>
      </c>
      <c r="B15" s="11" t="s">
        <v>104</v>
      </c>
      <c r="C15" s="24" t="s">
        <v>101</v>
      </c>
      <c r="D15" s="6"/>
      <c r="E15" s="13" t="s">
        <v>64</v>
      </c>
      <c r="F15" s="1">
        <v>0</v>
      </c>
      <c r="G15" s="3" t="str">
        <f t="shared" si="0"/>
        <v/>
      </c>
    </row>
    <row r="16" spans="1:9" ht="15" customHeight="1" x14ac:dyDescent="0.35">
      <c r="A16" s="10">
        <v>2015</v>
      </c>
      <c r="B16" s="11" t="s">
        <v>104</v>
      </c>
      <c r="C16" s="24" t="s">
        <v>101</v>
      </c>
      <c r="D16" s="6"/>
      <c r="E16" s="13" t="s">
        <v>65</v>
      </c>
      <c r="F16" s="1">
        <v>0</v>
      </c>
      <c r="G16" s="3" t="str">
        <f t="shared" si="0"/>
        <v/>
      </c>
    </row>
    <row r="17" spans="1:7" ht="15" customHeight="1" x14ac:dyDescent="0.35">
      <c r="A17" s="10">
        <v>2016</v>
      </c>
      <c r="B17" s="11" t="s">
        <v>104</v>
      </c>
      <c r="C17" s="24" t="s">
        <v>101</v>
      </c>
      <c r="D17" s="6"/>
      <c r="E17" s="13" t="s">
        <v>57</v>
      </c>
      <c r="F17" s="1">
        <v>1</v>
      </c>
      <c r="G17" s="3" t="str">
        <f t="shared" si="0"/>
        <v/>
      </c>
    </row>
    <row r="18" spans="1:7" ht="15" customHeight="1" x14ac:dyDescent="0.35">
      <c r="A18" s="10">
        <v>2017</v>
      </c>
      <c r="B18" s="11" t="s">
        <v>104</v>
      </c>
      <c r="C18" s="24" t="s">
        <v>101</v>
      </c>
      <c r="D18" s="6"/>
      <c r="E18" s="13" t="s">
        <v>52</v>
      </c>
      <c r="F18" s="1">
        <v>1</v>
      </c>
      <c r="G18" s="3" t="str">
        <f t="shared" si="0"/>
        <v/>
      </c>
    </row>
    <row r="19" spans="1:7" ht="15" customHeight="1" x14ac:dyDescent="0.35">
      <c r="A19" s="10">
        <v>2018</v>
      </c>
      <c r="B19" s="11" t="s">
        <v>104</v>
      </c>
      <c r="C19" s="24" t="s">
        <v>101</v>
      </c>
      <c r="D19" s="6"/>
      <c r="E19" s="13" t="s">
        <v>114</v>
      </c>
      <c r="F19" s="1">
        <v>0</v>
      </c>
      <c r="G19" s="3" t="str">
        <f t="shared" si="0"/>
        <v/>
      </c>
    </row>
    <row r="20" spans="1:7" ht="15" customHeight="1" x14ac:dyDescent="0.35">
      <c r="A20" s="10">
        <v>2019</v>
      </c>
      <c r="B20" s="11" t="s">
        <v>104</v>
      </c>
      <c r="C20" s="24" t="s">
        <v>101</v>
      </c>
      <c r="D20" s="6"/>
      <c r="E20" s="13" t="s">
        <v>60</v>
      </c>
      <c r="F20" s="1">
        <v>0</v>
      </c>
      <c r="G20" s="3" t="str">
        <f t="shared" si="0"/>
        <v/>
      </c>
    </row>
    <row r="21" spans="1:7" ht="15" customHeight="1" x14ac:dyDescent="0.35">
      <c r="A21" s="10">
        <v>2020</v>
      </c>
      <c r="B21" s="11" t="s">
        <v>104</v>
      </c>
      <c r="C21" s="24" t="s">
        <v>101</v>
      </c>
      <c r="D21" s="6"/>
      <c r="E21" s="13" t="s">
        <v>115</v>
      </c>
      <c r="F21" s="1">
        <v>0</v>
      </c>
      <c r="G21" s="3" t="str">
        <f t="shared" ref="G21" si="1">IF(OR(AND(F21&gt;1,F21&lt;&gt;"-")),"Can exchange","")</f>
        <v/>
      </c>
    </row>
    <row r="22" spans="1:7" ht="15" customHeight="1" x14ac:dyDescent="0.35">
      <c r="A22" s="10">
        <v>2021</v>
      </c>
      <c r="B22" s="11" t="s">
        <v>104</v>
      </c>
      <c r="C22" s="24" t="s">
        <v>101</v>
      </c>
      <c r="D22" s="6"/>
      <c r="E22" s="13" t="s">
        <v>76</v>
      </c>
      <c r="F22" s="1">
        <v>0</v>
      </c>
      <c r="G22" s="3" t="str">
        <f t="shared" ref="G22:G26" si="2">IF(OR(AND(F22&gt;1,F22&lt;&gt;"-")),"Can exchange","")</f>
        <v/>
      </c>
    </row>
    <row r="23" spans="1:7" ht="15" customHeight="1" x14ac:dyDescent="0.35">
      <c r="A23" s="10">
        <v>2022</v>
      </c>
      <c r="B23" s="11" t="s">
        <v>104</v>
      </c>
      <c r="C23" s="24" t="s">
        <v>101</v>
      </c>
      <c r="D23" s="6"/>
      <c r="E23" s="13" t="s">
        <v>115</v>
      </c>
      <c r="F23" s="1">
        <v>0</v>
      </c>
      <c r="G23" s="3" t="str">
        <f t="shared" si="2"/>
        <v/>
      </c>
    </row>
    <row r="24" spans="1:7" ht="15" customHeight="1" x14ac:dyDescent="0.35">
      <c r="A24" s="10">
        <v>2023</v>
      </c>
      <c r="B24" s="11" t="s">
        <v>104</v>
      </c>
      <c r="C24" s="24" t="s">
        <v>101</v>
      </c>
      <c r="D24" s="6"/>
      <c r="E24" s="13" t="s">
        <v>57</v>
      </c>
      <c r="F24" s="1">
        <v>0</v>
      </c>
      <c r="G24" s="3" t="str">
        <f t="shared" si="2"/>
        <v/>
      </c>
    </row>
    <row r="25" spans="1:7" ht="15" customHeight="1" x14ac:dyDescent="0.35">
      <c r="A25" s="10">
        <v>2024</v>
      </c>
      <c r="B25" s="11" t="s">
        <v>102</v>
      </c>
      <c r="C25" s="24" t="s">
        <v>101</v>
      </c>
      <c r="D25" s="12"/>
      <c r="E25" s="13" t="s">
        <v>135</v>
      </c>
      <c r="F25" s="1">
        <v>0</v>
      </c>
      <c r="G25" s="3" t="str">
        <f t="shared" ref="G25" si="3">IF(OR(AND(F25&gt;1,F25&lt;&gt;"-")),"Can exchange","")</f>
        <v/>
      </c>
    </row>
    <row r="26" spans="1:7" ht="15" customHeight="1" x14ac:dyDescent="0.35">
      <c r="A26" s="10">
        <v>2025</v>
      </c>
      <c r="B26" s="11" t="s">
        <v>102</v>
      </c>
      <c r="C26" s="24" t="s">
        <v>101</v>
      </c>
      <c r="D26" s="12"/>
      <c r="E26" s="25" t="s">
        <v>134</v>
      </c>
      <c r="F26" s="1" t="s">
        <v>110</v>
      </c>
      <c r="G26" s="3" t="str">
        <f t="shared" si="2"/>
        <v/>
      </c>
    </row>
  </sheetData>
  <autoFilter ref="B2:E2" xr:uid="{00000000-0001-0000-0200-000000000000}"/>
  <mergeCells count="2">
    <mergeCell ref="A1:A2"/>
    <mergeCell ref="C1:D1"/>
  </mergeCells>
  <phoneticPr fontId="8" type="noConversion"/>
  <conditionalFormatting sqref="F3:F20 F22 F24">
    <cfRule type="containsText" dxfId="35" priority="7" operator="containsText" text="*-">
      <formula>NOT(ISERROR(SEARCH(("*-"),(F3))))</formula>
    </cfRule>
  </conditionalFormatting>
  <conditionalFormatting sqref="F3:F20 F22 F24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1 F23">
    <cfRule type="containsText" dxfId="34" priority="5" operator="containsText" text="*-">
      <formula>NOT(ISERROR(SEARCH(("*-"),(F21))))</formula>
    </cfRule>
  </conditionalFormatting>
  <conditionalFormatting sqref="F23 F21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6">
    <cfRule type="containsText" dxfId="33" priority="3" operator="containsText" text="*-">
      <formula>NOT(ISERROR(SEARCH(("*-"),(F26))))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5">
    <cfRule type="containsText" dxfId="32" priority="1" operator="containsText" text="*-">
      <formula>NOT(ISERROR(SEARCH(("*-"),(F25))))</formula>
    </cfRule>
  </conditionalFormatting>
  <conditionalFormatting sqref="F25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8"/>
  <sheetViews>
    <sheetView workbookViewId="0">
      <pane xSplit="8" ySplit="2" topLeftCell="I3" activePane="bottomRight" state="frozen"/>
      <selection pane="topRight" activeCell="H1" sqref="H1"/>
      <selection pane="bottomLeft" activeCell="A3" sqref="A3"/>
      <selection pane="bottomRight" activeCell="F27" sqref="F27:H28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5" width="33.6328125" style="4" customWidth="1"/>
    <col min="6" max="6" width="12.6328125" style="4" customWidth="1"/>
    <col min="7" max="7" width="3.6328125" style="4" customWidth="1"/>
    <col min="8" max="8" width="12.6328125" style="4" customWidth="1"/>
  </cols>
  <sheetData>
    <row r="1" spans="1:10" ht="15" customHeight="1" x14ac:dyDescent="0.35">
      <c r="A1" s="28" t="s">
        <v>0</v>
      </c>
      <c r="B1" s="27"/>
      <c r="C1" s="30" t="s">
        <v>1</v>
      </c>
      <c r="D1" s="32"/>
      <c r="E1" s="31"/>
      <c r="F1" s="8" t="s">
        <v>2</v>
      </c>
      <c r="G1" s="23" t="s">
        <v>6</v>
      </c>
      <c r="H1" s="2"/>
    </row>
    <row r="2" spans="1:10" ht="15" customHeight="1" x14ac:dyDescent="0.35">
      <c r="A2" s="29"/>
      <c r="B2" s="27" t="s">
        <v>128</v>
      </c>
      <c r="C2" s="7" t="s">
        <v>129</v>
      </c>
      <c r="D2" s="7" t="s">
        <v>132</v>
      </c>
      <c r="E2" s="7" t="s">
        <v>131</v>
      </c>
      <c r="F2" s="9" t="s">
        <v>27</v>
      </c>
      <c r="G2" s="7" t="s">
        <v>27</v>
      </c>
      <c r="H2" s="2"/>
    </row>
    <row r="3" spans="1:10" ht="15" customHeight="1" x14ac:dyDescent="0.35">
      <c r="A3" s="10">
        <v>2002</v>
      </c>
      <c r="B3" s="9" t="s">
        <v>105</v>
      </c>
      <c r="C3" s="24" t="s">
        <v>101</v>
      </c>
      <c r="D3" s="6" t="s">
        <v>7</v>
      </c>
      <c r="E3" s="6"/>
      <c r="F3" s="13" t="s">
        <v>66</v>
      </c>
      <c r="G3" s="1">
        <v>1</v>
      </c>
      <c r="H3" s="3" t="str">
        <f t="shared" ref="H3:H22" si="0">IF(OR(AND(G3&gt;1,G3&lt;&gt;"-")),"Can exchange","")</f>
        <v/>
      </c>
      <c r="J3" s="5"/>
    </row>
    <row r="4" spans="1:10" ht="15" customHeight="1" x14ac:dyDescent="0.35">
      <c r="A4" s="10">
        <v>2002</v>
      </c>
      <c r="B4" s="9" t="s">
        <v>105</v>
      </c>
      <c r="C4" s="24" t="s">
        <v>101</v>
      </c>
      <c r="D4" s="6" t="s">
        <v>7</v>
      </c>
      <c r="E4" s="6" t="s">
        <v>98</v>
      </c>
      <c r="F4" s="13" t="s">
        <v>97</v>
      </c>
      <c r="G4" s="1">
        <v>0</v>
      </c>
      <c r="H4" s="3" t="str">
        <f t="shared" ref="H4" si="1">IF(OR(AND(G4&gt;1,G4&lt;&gt;"-")),"Can exchange","")</f>
        <v/>
      </c>
      <c r="J4" s="5"/>
    </row>
    <row r="5" spans="1:10" ht="15" customHeight="1" x14ac:dyDescent="0.35">
      <c r="A5" s="10">
        <v>2002</v>
      </c>
      <c r="B5" s="9" t="s">
        <v>105</v>
      </c>
      <c r="C5" s="24" t="s">
        <v>101</v>
      </c>
      <c r="D5" s="6" t="s">
        <v>7</v>
      </c>
      <c r="E5" s="6" t="s">
        <v>99</v>
      </c>
      <c r="F5" s="13" t="s">
        <v>97</v>
      </c>
      <c r="G5" s="1">
        <v>0</v>
      </c>
      <c r="H5" s="3" t="str">
        <f t="shared" ref="H5" si="2">IF(OR(AND(G5&gt;1,G5&lt;&gt;"-")),"Can exchange","")</f>
        <v/>
      </c>
      <c r="J5" s="5"/>
    </row>
    <row r="6" spans="1:10" ht="15" customHeight="1" x14ac:dyDescent="0.35">
      <c r="A6" s="10">
        <v>2003</v>
      </c>
      <c r="B6" s="9" t="s">
        <v>105</v>
      </c>
      <c r="C6" s="24" t="s">
        <v>101</v>
      </c>
      <c r="D6" s="6" t="s">
        <v>7</v>
      </c>
      <c r="E6" s="6"/>
      <c r="F6" s="13" t="s">
        <v>67</v>
      </c>
      <c r="G6" s="1">
        <v>0</v>
      </c>
      <c r="H6" s="3" t="str">
        <f t="shared" si="0"/>
        <v/>
      </c>
      <c r="J6" s="5"/>
    </row>
    <row r="7" spans="1:10" ht="15" customHeight="1" x14ac:dyDescent="0.35">
      <c r="A7" s="10">
        <v>2004</v>
      </c>
      <c r="B7" s="9" t="s">
        <v>105</v>
      </c>
      <c r="C7" s="24" t="s">
        <v>101</v>
      </c>
      <c r="D7" s="6" t="s">
        <v>7</v>
      </c>
      <c r="E7" s="6"/>
      <c r="F7" s="13" t="s">
        <v>68</v>
      </c>
      <c r="G7" s="1">
        <v>0</v>
      </c>
      <c r="H7" s="3" t="str">
        <f t="shared" si="0"/>
        <v/>
      </c>
    </row>
    <row r="8" spans="1:10" ht="15" customHeight="1" x14ac:dyDescent="0.35">
      <c r="A8" s="10">
        <v>2005</v>
      </c>
      <c r="B8" s="9" t="s">
        <v>105</v>
      </c>
      <c r="C8" s="24" t="s">
        <v>101</v>
      </c>
      <c r="D8" s="6" t="s">
        <v>7</v>
      </c>
      <c r="E8" s="6"/>
      <c r="F8" s="13" t="s">
        <v>30</v>
      </c>
      <c r="G8" s="1">
        <v>0</v>
      </c>
      <c r="H8" s="3" t="str">
        <f t="shared" si="0"/>
        <v/>
      </c>
    </row>
    <row r="9" spans="1:10" ht="15" customHeight="1" x14ac:dyDescent="0.35">
      <c r="A9" s="10">
        <v>2006</v>
      </c>
      <c r="B9" s="9" t="s">
        <v>105</v>
      </c>
      <c r="C9" s="24" t="s">
        <v>101</v>
      </c>
      <c r="D9" s="6" t="s">
        <v>7</v>
      </c>
      <c r="E9" s="6"/>
      <c r="F9" s="13" t="s">
        <v>31</v>
      </c>
      <c r="G9" s="1">
        <v>1</v>
      </c>
      <c r="H9" s="3" t="str">
        <f t="shared" si="0"/>
        <v/>
      </c>
    </row>
    <row r="10" spans="1:10" ht="15" customHeight="1" x14ac:dyDescent="0.35">
      <c r="A10" s="10">
        <v>2007</v>
      </c>
      <c r="B10" s="9" t="s">
        <v>105</v>
      </c>
      <c r="C10" s="24" t="s">
        <v>101</v>
      </c>
      <c r="D10" s="6" t="s">
        <v>7</v>
      </c>
      <c r="E10" s="6"/>
      <c r="F10" s="13" t="s">
        <v>69</v>
      </c>
      <c r="G10" s="1">
        <v>0</v>
      </c>
      <c r="H10" s="3" t="str">
        <f t="shared" si="0"/>
        <v/>
      </c>
    </row>
    <row r="11" spans="1:10" ht="15" customHeight="1" x14ac:dyDescent="0.35">
      <c r="A11" s="10">
        <v>2008</v>
      </c>
      <c r="B11" s="9" t="s">
        <v>105</v>
      </c>
      <c r="C11" s="24" t="s">
        <v>101</v>
      </c>
      <c r="D11" s="6" t="s">
        <v>8</v>
      </c>
      <c r="E11" s="6"/>
      <c r="F11" s="13" t="s">
        <v>69</v>
      </c>
      <c r="G11" s="1">
        <v>0</v>
      </c>
      <c r="H11" s="3" t="str">
        <f t="shared" si="0"/>
        <v/>
      </c>
    </row>
    <row r="12" spans="1:10" ht="15" customHeight="1" x14ac:dyDescent="0.35">
      <c r="A12" s="10">
        <v>2009</v>
      </c>
      <c r="B12" s="9" t="s">
        <v>105</v>
      </c>
      <c r="C12" s="24" t="s">
        <v>101</v>
      </c>
      <c r="D12" s="6" t="s">
        <v>8</v>
      </c>
      <c r="E12" s="6"/>
      <c r="F12" s="13" t="s">
        <v>70</v>
      </c>
      <c r="G12" s="1">
        <v>1</v>
      </c>
      <c r="H12" s="3" t="str">
        <f t="shared" si="0"/>
        <v/>
      </c>
    </row>
    <row r="13" spans="1:10" ht="15" customHeight="1" x14ac:dyDescent="0.35">
      <c r="A13" s="10">
        <v>2010</v>
      </c>
      <c r="B13" s="9" t="s">
        <v>105</v>
      </c>
      <c r="C13" s="24" t="s">
        <v>101</v>
      </c>
      <c r="D13" s="6" t="s">
        <v>8</v>
      </c>
      <c r="E13" s="6"/>
      <c r="F13" s="13" t="s">
        <v>71</v>
      </c>
      <c r="G13" s="1">
        <v>0</v>
      </c>
      <c r="H13" s="3" t="str">
        <f t="shared" si="0"/>
        <v/>
      </c>
    </row>
    <row r="14" spans="1:10" ht="15" customHeight="1" x14ac:dyDescent="0.35">
      <c r="A14" s="10">
        <v>2011</v>
      </c>
      <c r="B14" s="9" t="s">
        <v>105</v>
      </c>
      <c r="C14" s="24" t="s">
        <v>101</v>
      </c>
      <c r="D14" s="6" t="s">
        <v>8</v>
      </c>
      <c r="E14" s="6"/>
      <c r="F14" s="13" t="s">
        <v>63</v>
      </c>
      <c r="G14" s="1">
        <v>0</v>
      </c>
      <c r="H14" s="3" t="str">
        <f t="shared" si="0"/>
        <v/>
      </c>
    </row>
    <row r="15" spans="1:10" ht="15" customHeight="1" x14ac:dyDescent="0.35">
      <c r="A15" s="10">
        <v>2012</v>
      </c>
      <c r="B15" s="9" t="s">
        <v>105</v>
      </c>
      <c r="C15" s="24" t="s">
        <v>101</v>
      </c>
      <c r="D15" s="6" t="s">
        <v>8</v>
      </c>
      <c r="E15" s="6"/>
      <c r="F15" s="13" t="s">
        <v>30</v>
      </c>
      <c r="G15" s="1">
        <v>0</v>
      </c>
      <c r="H15" s="3" t="str">
        <f t="shared" si="0"/>
        <v/>
      </c>
    </row>
    <row r="16" spans="1:10" ht="15" customHeight="1" x14ac:dyDescent="0.35">
      <c r="A16" s="10">
        <v>2013</v>
      </c>
      <c r="B16" s="9" t="s">
        <v>105</v>
      </c>
      <c r="C16" s="24" t="s">
        <v>101</v>
      </c>
      <c r="D16" s="6" t="s">
        <v>8</v>
      </c>
      <c r="E16" s="6"/>
      <c r="F16" s="13" t="s">
        <v>72</v>
      </c>
      <c r="G16" s="1">
        <v>0</v>
      </c>
      <c r="H16" s="3" t="str">
        <f t="shared" si="0"/>
        <v/>
      </c>
    </row>
    <row r="17" spans="1:8" ht="15" customHeight="1" x14ac:dyDescent="0.35">
      <c r="A17" s="10">
        <v>2014</v>
      </c>
      <c r="B17" s="9" t="s">
        <v>105</v>
      </c>
      <c r="C17" s="24" t="s">
        <v>101</v>
      </c>
      <c r="D17" s="6" t="s">
        <v>8</v>
      </c>
      <c r="E17" s="6"/>
      <c r="F17" s="13" t="s">
        <v>56</v>
      </c>
      <c r="G17" s="1">
        <v>0</v>
      </c>
      <c r="H17" s="3" t="str">
        <f t="shared" si="0"/>
        <v/>
      </c>
    </row>
    <row r="18" spans="1:8" ht="15" customHeight="1" x14ac:dyDescent="0.35">
      <c r="A18" s="10">
        <v>2015</v>
      </c>
      <c r="B18" s="9" t="s">
        <v>105</v>
      </c>
      <c r="C18" s="24" t="s">
        <v>101</v>
      </c>
      <c r="D18" s="6" t="s">
        <v>8</v>
      </c>
      <c r="E18" s="6"/>
      <c r="F18" s="13" t="s">
        <v>56</v>
      </c>
      <c r="G18" s="1">
        <v>0</v>
      </c>
      <c r="H18" s="3" t="str">
        <f t="shared" si="0"/>
        <v/>
      </c>
    </row>
    <row r="19" spans="1:8" ht="15" customHeight="1" x14ac:dyDescent="0.35">
      <c r="A19" s="10">
        <v>2016</v>
      </c>
      <c r="B19" s="9" t="s">
        <v>105</v>
      </c>
      <c r="C19" s="24" t="s">
        <v>101</v>
      </c>
      <c r="D19" s="6" t="s">
        <v>8</v>
      </c>
      <c r="E19" s="6"/>
      <c r="F19" s="13" t="s">
        <v>73</v>
      </c>
      <c r="G19" s="1">
        <v>0</v>
      </c>
      <c r="H19" s="3" t="str">
        <f t="shared" si="0"/>
        <v/>
      </c>
    </row>
    <row r="20" spans="1:8" ht="15" customHeight="1" x14ac:dyDescent="0.35">
      <c r="A20" s="10">
        <v>2017</v>
      </c>
      <c r="B20" s="9" t="s">
        <v>105</v>
      </c>
      <c r="C20" s="24" t="s">
        <v>101</v>
      </c>
      <c r="D20" s="6" t="s">
        <v>8</v>
      </c>
      <c r="E20" s="6"/>
      <c r="F20" s="13" t="s">
        <v>64</v>
      </c>
      <c r="G20" s="1">
        <v>0</v>
      </c>
      <c r="H20" s="3" t="str">
        <f t="shared" si="0"/>
        <v/>
      </c>
    </row>
    <row r="21" spans="1:8" ht="15" customHeight="1" x14ac:dyDescent="0.35">
      <c r="A21" s="10">
        <v>2018</v>
      </c>
      <c r="B21" s="9" t="s">
        <v>105</v>
      </c>
      <c r="C21" s="24" t="s">
        <v>101</v>
      </c>
      <c r="D21" s="6" t="s">
        <v>8</v>
      </c>
      <c r="E21" s="6"/>
      <c r="F21" s="13" t="s">
        <v>30</v>
      </c>
      <c r="G21" s="1">
        <v>0</v>
      </c>
      <c r="H21" s="3" t="str">
        <f t="shared" si="0"/>
        <v/>
      </c>
    </row>
    <row r="22" spans="1:8" ht="15" customHeight="1" x14ac:dyDescent="0.35">
      <c r="A22" s="10">
        <v>2019</v>
      </c>
      <c r="B22" s="9" t="s">
        <v>105</v>
      </c>
      <c r="C22" s="24" t="s">
        <v>101</v>
      </c>
      <c r="D22" s="6" t="s">
        <v>8</v>
      </c>
      <c r="E22" s="6"/>
      <c r="F22" s="13" t="s">
        <v>116</v>
      </c>
      <c r="G22" s="1">
        <v>0</v>
      </c>
      <c r="H22" s="3" t="str">
        <f t="shared" si="0"/>
        <v/>
      </c>
    </row>
    <row r="23" spans="1:8" ht="15" customHeight="1" x14ac:dyDescent="0.35">
      <c r="A23" s="10">
        <v>2020</v>
      </c>
      <c r="B23" s="9" t="s">
        <v>105</v>
      </c>
      <c r="C23" s="24" t="s">
        <v>101</v>
      </c>
      <c r="D23" s="6" t="s">
        <v>8</v>
      </c>
      <c r="E23" s="6"/>
      <c r="F23" s="13" t="s">
        <v>117</v>
      </c>
      <c r="G23" s="1">
        <v>0</v>
      </c>
      <c r="H23" s="3" t="str">
        <f t="shared" ref="H23" si="3">IF(OR(AND(G23&gt;1,G23&lt;&gt;"-")),"Can exchange","")</f>
        <v/>
      </c>
    </row>
    <row r="24" spans="1:8" ht="15" customHeight="1" x14ac:dyDescent="0.35">
      <c r="A24" s="10">
        <v>2021</v>
      </c>
      <c r="B24" s="9" t="s">
        <v>105</v>
      </c>
      <c r="C24" s="24" t="s">
        <v>101</v>
      </c>
      <c r="D24" s="6" t="s">
        <v>8</v>
      </c>
      <c r="E24" s="6"/>
      <c r="F24" s="13" t="s">
        <v>115</v>
      </c>
      <c r="G24" s="1">
        <v>0</v>
      </c>
      <c r="H24" s="3" t="str">
        <f t="shared" ref="H24:H26" si="4">IF(OR(AND(G24&gt;1,G24&lt;&gt;"-")),"Can exchange","")</f>
        <v/>
      </c>
    </row>
    <row r="25" spans="1:8" ht="15" customHeight="1" x14ac:dyDescent="0.35">
      <c r="A25" s="10">
        <v>2022</v>
      </c>
      <c r="B25" s="9" t="s">
        <v>105</v>
      </c>
      <c r="C25" s="24" t="s">
        <v>101</v>
      </c>
      <c r="D25" s="6" t="s">
        <v>8</v>
      </c>
      <c r="E25" s="6"/>
      <c r="F25" s="13" t="s">
        <v>62</v>
      </c>
      <c r="G25" s="1">
        <v>0</v>
      </c>
      <c r="H25" s="3" t="str">
        <f t="shared" si="4"/>
        <v/>
      </c>
    </row>
    <row r="26" spans="1:8" ht="15" customHeight="1" x14ac:dyDescent="0.35">
      <c r="A26" s="10">
        <v>2023</v>
      </c>
      <c r="B26" s="9" t="s">
        <v>105</v>
      </c>
      <c r="C26" s="24" t="s">
        <v>101</v>
      </c>
      <c r="D26" s="6" t="s">
        <v>8</v>
      </c>
      <c r="E26" s="6"/>
      <c r="F26" s="13" t="s">
        <v>115</v>
      </c>
      <c r="G26" s="1">
        <v>0</v>
      </c>
      <c r="H26" s="3" t="str">
        <f t="shared" si="4"/>
        <v/>
      </c>
    </row>
    <row r="27" spans="1:8" ht="15" customHeight="1" x14ac:dyDescent="0.35">
      <c r="A27" s="10">
        <v>2024</v>
      </c>
      <c r="B27" s="9" t="s">
        <v>105</v>
      </c>
      <c r="C27" s="24" t="s">
        <v>101</v>
      </c>
      <c r="D27" s="6" t="s">
        <v>8</v>
      </c>
      <c r="E27" s="6"/>
      <c r="F27" s="13" t="s">
        <v>39</v>
      </c>
      <c r="G27" s="1">
        <v>0</v>
      </c>
      <c r="H27" s="3" t="str">
        <f>IF(OR(AND(G27&gt;1,G27&lt;&gt;"-")),"Can exchange","")</f>
        <v/>
      </c>
    </row>
    <row r="28" spans="1:8" ht="15" customHeight="1" x14ac:dyDescent="0.35">
      <c r="A28" s="10">
        <v>2025</v>
      </c>
      <c r="B28" s="9" t="s">
        <v>105</v>
      </c>
      <c r="C28" s="24" t="s">
        <v>101</v>
      </c>
      <c r="D28" s="6" t="s">
        <v>8</v>
      </c>
      <c r="E28" s="6"/>
      <c r="F28" s="25" t="s">
        <v>134</v>
      </c>
      <c r="G28" s="1" t="s">
        <v>110</v>
      </c>
      <c r="H28" s="3" t="str">
        <f t="shared" ref="H28" si="5">IF(OR(AND(G28&gt;1,G28&lt;&gt;"-")),"Can exchange","")</f>
        <v/>
      </c>
    </row>
  </sheetData>
  <autoFilter ref="B2:F2" xr:uid="{00000000-0001-0000-0300-000000000000}"/>
  <mergeCells count="2">
    <mergeCell ref="A1:A2"/>
    <mergeCell ref="C1:E1"/>
  </mergeCells>
  <phoneticPr fontId="8" type="noConversion"/>
  <conditionalFormatting sqref="G3 G6:G22 G24 G26">
    <cfRule type="containsText" dxfId="31" priority="17" operator="containsText" text="*-">
      <formula>NOT(ISERROR(SEARCH(("*-"),(G3))))</formula>
    </cfRule>
  </conditionalFormatting>
  <conditionalFormatting sqref="G6:G22 G3 G24 G26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">
    <cfRule type="containsText" dxfId="30" priority="15" operator="containsText" text="*-">
      <formula>NOT(ISERROR(SEARCH(("*-"),(G4))))</formula>
    </cfRule>
  </conditionalFormatting>
  <conditionalFormatting sqref="G4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">
    <cfRule type="containsText" dxfId="29" priority="13" operator="containsText" text="*-">
      <formula>NOT(ISERROR(SEARCH(("*-"),(G5))))</formula>
    </cfRule>
  </conditionalFormatting>
  <conditionalFormatting sqref="G5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3 G25">
    <cfRule type="containsText" dxfId="28" priority="11" operator="containsText" text="*-">
      <formula>NOT(ISERROR(SEARCH(("*-"),(G23))))</formula>
    </cfRule>
  </conditionalFormatting>
  <conditionalFormatting sqref="G25 G23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7">
    <cfRule type="containsText" dxfId="13" priority="3" operator="containsText" text="*-">
      <formula>NOT(ISERROR(SEARCH(("*-"),(G27))))</formula>
    </cfRule>
  </conditionalFormatting>
  <conditionalFormatting sqref="G27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8">
    <cfRule type="containsText" dxfId="12" priority="1" operator="containsText" text="*-">
      <formula>NOT(ISERROR(SEARCH(("*-"),(G28))))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6"/>
  <sheetViews>
    <sheetView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E25" sqref="E25:G26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4" width="33.6328125" style="4" customWidth="1"/>
    <col min="5" max="5" width="12.6328125" style="4" customWidth="1"/>
    <col min="6" max="6" width="3.6328125" style="4" customWidth="1"/>
    <col min="7" max="7" width="12.6328125" style="4" customWidth="1"/>
  </cols>
  <sheetData>
    <row r="1" spans="1:9" ht="15" customHeight="1" x14ac:dyDescent="0.35">
      <c r="A1" s="28" t="s">
        <v>0</v>
      </c>
      <c r="B1" s="27"/>
      <c r="C1" s="30" t="s">
        <v>1</v>
      </c>
      <c r="D1" s="31"/>
      <c r="E1" s="8" t="s">
        <v>2</v>
      </c>
      <c r="F1" s="23" t="s">
        <v>9</v>
      </c>
      <c r="G1" s="2"/>
    </row>
    <row r="2" spans="1:9" ht="15" customHeight="1" x14ac:dyDescent="0.35">
      <c r="A2" s="29"/>
      <c r="B2" s="27" t="s">
        <v>128</v>
      </c>
      <c r="C2" s="7" t="s">
        <v>129</v>
      </c>
      <c r="D2" s="7" t="s">
        <v>132</v>
      </c>
      <c r="E2" s="9" t="s">
        <v>27</v>
      </c>
      <c r="F2" s="7" t="s">
        <v>27</v>
      </c>
      <c r="G2" s="2"/>
    </row>
    <row r="3" spans="1:9" ht="15" customHeight="1" x14ac:dyDescent="0.35">
      <c r="A3" s="10">
        <v>2002</v>
      </c>
      <c r="B3" s="11" t="s">
        <v>106</v>
      </c>
      <c r="C3" s="24" t="s">
        <v>101</v>
      </c>
      <c r="D3" s="6" t="s">
        <v>7</v>
      </c>
      <c r="E3" s="13" t="s">
        <v>74</v>
      </c>
      <c r="F3" s="1">
        <v>2</v>
      </c>
      <c r="G3" s="3" t="str">
        <f t="shared" ref="G3:G20" si="0">IF(OR(AND(F3&gt;1,F3&lt;&gt;"-")),"Can exchange","")</f>
        <v>Can exchange</v>
      </c>
      <c r="I3" s="5"/>
    </row>
    <row r="4" spans="1:9" ht="15" customHeight="1" x14ac:dyDescent="0.35">
      <c r="A4" s="10">
        <v>2003</v>
      </c>
      <c r="B4" s="11" t="s">
        <v>106</v>
      </c>
      <c r="C4" s="24" t="s">
        <v>101</v>
      </c>
      <c r="D4" s="6" t="s">
        <v>7</v>
      </c>
      <c r="E4" s="13" t="s">
        <v>75</v>
      </c>
      <c r="F4" s="1">
        <v>0</v>
      </c>
      <c r="G4" s="3" t="str">
        <f t="shared" si="0"/>
        <v/>
      </c>
      <c r="I4" s="5"/>
    </row>
    <row r="5" spans="1:9" ht="15" customHeight="1" x14ac:dyDescent="0.35">
      <c r="A5" s="10">
        <v>2004</v>
      </c>
      <c r="B5" s="11" t="s">
        <v>106</v>
      </c>
      <c r="C5" s="24" t="s">
        <v>101</v>
      </c>
      <c r="D5" s="6" t="s">
        <v>7</v>
      </c>
      <c r="E5" s="13" t="s">
        <v>68</v>
      </c>
      <c r="F5" s="1">
        <v>0</v>
      </c>
      <c r="G5" s="3" t="str">
        <f t="shared" si="0"/>
        <v/>
      </c>
    </row>
    <row r="6" spans="1:9" ht="15" customHeight="1" x14ac:dyDescent="0.35">
      <c r="A6" s="10">
        <v>2005</v>
      </c>
      <c r="B6" s="11" t="s">
        <v>106</v>
      </c>
      <c r="C6" s="24" t="s">
        <v>101</v>
      </c>
      <c r="D6" s="6" t="s">
        <v>7</v>
      </c>
      <c r="E6" s="13" t="s">
        <v>68</v>
      </c>
      <c r="F6" s="1">
        <v>0</v>
      </c>
      <c r="G6" s="3" t="str">
        <f t="shared" si="0"/>
        <v/>
      </c>
    </row>
    <row r="7" spans="1:9" ht="15" customHeight="1" x14ac:dyDescent="0.35">
      <c r="A7" s="10">
        <v>2006</v>
      </c>
      <c r="B7" s="11" t="s">
        <v>106</v>
      </c>
      <c r="C7" s="24" t="s">
        <v>101</v>
      </c>
      <c r="D7" s="6" t="s">
        <v>7</v>
      </c>
      <c r="E7" s="13" t="s">
        <v>68</v>
      </c>
      <c r="F7" s="1">
        <v>0</v>
      </c>
      <c r="G7" s="3" t="str">
        <f t="shared" si="0"/>
        <v/>
      </c>
    </row>
    <row r="8" spans="1:9" ht="15" customHeight="1" x14ac:dyDescent="0.35">
      <c r="A8" s="10">
        <v>2007</v>
      </c>
      <c r="B8" s="11" t="s">
        <v>106</v>
      </c>
      <c r="C8" s="24" t="s">
        <v>101</v>
      </c>
      <c r="D8" s="6" t="s">
        <v>7</v>
      </c>
      <c r="E8" s="13" t="s">
        <v>68</v>
      </c>
      <c r="F8" s="1">
        <v>0</v>
      </c>
      <c r="G8" s="3" t="str">
        <f t="shared" si="0"/>
        <v/>
      </c>
    </row>
    <row r="9" spans="1:9" ht="15" customHeight="1" x14ac:dyDescent="0.35">
      <c r="A9" s="10">
        <v>2008</v>
      </c>
      <c r="B9" s="11" t="s">
        <v>106</v>
      </c>
      <c r="C9" s="24" t="s">
        <v>101</v>
      </c>
      <c r="D9" s="6" t="s">
        <v>8</v>
      </c>
      <c r="E9" s="13" t="s">
        <v>68</v>
      </c>
      <c r="F9" s="1">
        <v>0</v>
      </c>
      <c r="G9" s="3" t="str">
        <f t="shared" si="0"/>
        <v/>
      </c>
    </row>
    <row r="10" spans="1:9" ht="15" customHeight="1" x14ac:dyDescent="0.35">
      <c r="A10" s="10">
        <v>2009</v>
      </c>
      <c r="B10" s="11" t="s">
        <v>106</v>
      </c>
      <c r="C10" s="24" t="s">
        <v>101</v>
      </c>
      <c r="D10" s="6" t="s">
        <v>8</v>
      </c>
      <c r="E10" s="13" t="s">
        <v>76</v>
      </c>
      <c r="F10" s="1">
        <v>1</v>
      </c>
      <c r="G10" s="3" t="str">
        <f t="shared" si="0"/>
        <v/>
      </c>
    </row>
    <row r="11" spans="1:9" ht="15" customHeight="1" x14ac:dyDescent="0.35">
      <c r="A11" s="10">
        <v>2010</v>
      </c>
      <c r="B11" s="11" t="s">
        <v>106</v>
      </c>
      <c r="C11" s="24" t="s">
        <v>101</v>
      </c>
      <c r="D11" s="6" t="s">
        <v>8</v>
      </c>
      <c r="E11" s="13" t="s">
        <v>77</v>
      </c>
      <c r="F11" s="1">
        <v>0</v>
      </c>
      <c r="G11" s="3" t="str">
        <f t="shared" si="0"/>
        <v/>
      </c>
    </row>
    <row r="12" spans="1:9" ht="15" customHeight="1" x14ac:dyDescent="0.35">
      <c r="A12" s="10">
        <v>2011</v>
      </c>
      <c r="B12" s="11" t="s">
        <v>106</v>
      </c>
      <c r="C12" s="24" t="s">
        <v>101</v>
      </c>
      <c r="D12" s="6" t="s">
        <v>8</v>
      </c>
      <c r="E12" s="13" t="s">
        <v>78</v>
      </c>
      <c r="F12" s="1">
        <v>0</v>
      </c>
      <c r="G12" s="3" t="str">
        <f t="shared" si="0"/>
        <v/>
      </c>
    </row>
    <row r="13" spans="1:9" ht="15" customHeight="1" x14ac:dyDescent="0.35">
      <c r="A13" s="10">
        <v>2012</v>
      </c>
      <c r="B13" s="11" t="s">
        <v>106</v>
      </c>
      <c r="C13" s="24" t="s">
        <v>101</v>
      </c>
      <c r="D13" s="6" t="s">
        <v>8</v>
      </c>
      <c r="E13" s="13" t="s">
        <v>68</v>
      </c>
      <c r="F13" s="1">
        <v>0</v>
      </c>
      <c r="G13" s="3" t="str">
        <f t="shared" si="0"/>
        <v/>
      </c>
    </row>
    <row r="14" spans="1:9" ht="15" customHeight="1" x14ac:dyDescent="0.35">
      <c r="A14" s="10">
        <v>2013</v>
      </c>
      <c r="B14" s="11" t="s">
        <v>106</v>
      </c>
      <c r="C14" s="24" t="s">
        <v>101</v>
      </c>
      <c r="D14" s="6" t="s">
        <v>8</v>
      </c>
      <c r="E14" s="13" t="s">
        <v>72</v>
      </c>
      <c r="F14" s="1">
        <v>0</v>
      </c>
      <c r="G14" s="3" t="str">
        <f t="shared" si="0"/>
        <v/>
      </c>
    </row>
    <row r="15" spans="1:9" ht="15" customHeight="1" x14ac:dyDescent="0.35">
      <c r="A15" s="10">
        <v>2014</v>
      </c>
      <c r="B15" s="11" t="s">
        <v>106</v>
      </c>
      <c r="C15" s="24" t="s">
        <v>101</v>
      </c>
      <c r="D15" s="6" t="s">
        <v>8</v>
      </c>
      <c r="E15" s="13" t="s">
        <v>56</v>
      </c>
      <c r="F15" s="1">
        <v>0</v>
      </c>
      <c r="G15" s="3" t="str">
        <f t="shared" si="0"/>
        <v/>
      </c>
    </row>
    <row r="16" spans="1:9" ht="15" customHeight="1" x14ac:dyDescent="0.35">
      <c r="A16" s="10">
        <v>2015</v>
      </c>
      <c r="B16" s="11" t="s">
        <v>106</v>
      </c>
      <c r="C16" s="24" t="s">
        <v>101</v>
      </c>
      <c r="D16" s="6" t="s">
        <v>8</v>
      </c>
      <c r="E16" s="13" t="s">
        <v>68</v>
      </c>
      <c r="F16" s="1">
        <v>0</v>
      </c>
      <c r="G16" s="3" t="str">
        <f t="shared" si="0"/>
        <v/>
      </c>
    </row>
    <row r="17" spans="1:7" ht="15" customHeight="1" x14ac:dyDescent="0.35">
      <c r="A17" s="10">
        <v>2016</v>
      </c>
      <c r="B17" s="11" t="s">
        <v>106</v>
      </c>
      <c r="C17" s="24" t="s">
        <v>101</v>
      </c>
      <c r="D17" s="6" t="s">
        <v>8</v>
      </c>
      <c r="E17" s="13" t="s">
        <v>68</v>
      </c>
      <c r="F17" s="1">
        <v>0</v>
      </c>
      <c r="G17" s="3" t="str">
        <f t="shared" si="0"/>
        <v/>
      </c>
    </row>
    <row r="18" spans="1:7" ht="15" customHeight="1" x14ac:dyDescent="0.35">
      <c r="A18" s="10">
        <v>2017</v>
      </c>
      <c r="B18" s="11" t="s">
        <v>106</v>
      </c>
      <c r="C18" s="24" t="s">
        <v>101</v>
      </c>
      <c r="D18" s="6" t="s">
        <v>8</v>
      </c>
      <c r="E18" s="13" t="s">
        <v>68</v>
      </c>
      <c r="F18" s="1">
        <v>0</v>
      </c>
      <c r="G18" s="3" t="str">
        <f t="shared" si="0"/>
        <v/>
      </c>
    </row>
    <row r="19" spans="1:7" ht="15" customHeight="1" x14ac:dyDescent="0.35">
      <c r="A19" s="10">
        <v>2018</v>
      </c>
      <c r="B19" s="11" t="s">
        <v>106</v>
      </c>
      <c r="C19" s="24" t="s">
        <v>101</v>
      </c>
      <c r="D19" s="6" t="s">
        <v>8</v>
      </c>
      <c r="E19" s="13" t="s">
        <v>118</v>
      </c>
      <c r="F19" s="1">
        <v>0</v>
      </c>
      <c r="G19" s="3" t="str">
        <f t="shared" si="0"/>
        <v/>
      </c>
    </row>
    <row r="20" spans="1:7" ht="15" customHeight="1" x14ac:dyDescent="0.35">
      <c r="A20" s="10">
        <v>2019</v>
      </c>
      <c r="B20" s="11" t="s">
        <v>106</v>
      </c>
      <c r="C20" s="24" t="s">
        <v>101</v>
      </c>
      <c r="D20" s="6" t="s">
        <v>8</v>
      </c>
      <c r="E20" s="13" t="s">
        <v>59</v>
      </c>
      <c r="F20" s="1">
        <v>0</v>
      </c>
      <c r="G20" s="3" t="str">
        <f t="shared" si="0"/>
        <v/>
      </c>
    </row>
    <row r="21" spans="1:7" ht="15" customHeight="1" x14ac:dyDescent="0.35">
      <c r="A21" s="10">
        <v>2020</v>
      </c>
      <c r="B21" s="11" t="s">
        <v>106</v>
      </c>
      <c r="C21" s="24" t="s">
        <v>101</v>
      </c>
      <c r="D21" s="6" t="s">
        <v>8</v>
      </c>
      <c r="E21" s="13" t="s">
        <v>119</v>
      </c>
      <c r="F21" s="1">
        <v>0</v>
      </c>
      <c r="G21" s="3" t="str">
        <f t="shared" ref="G21:G22" si="1">IF(OR(AND(F21&gt;1,F21&lt;&gt;"-")),"Can exchange","")</f>
        <v/>
      </c>
    </row>
    <row r="22" spans="1:7" ht="15" customHeight="1" x14ac:dyDescent="0.35">
      <c r="A22" s="10">
        <v>2021</v>
      </c>
      <c r="B22" s="11" t="s">
        <v>106</v>
      </c>
      <c r="C22" s="24" t="s">
        <v>101</v>
      </c>
      <c r="D22" s="6" t="s">
        <v>8</v>
      </c>
      <c r="E22" s="13" t="s">
        <v>124</v>
      </c>
      <c r="F22" s="1">
        <v>0</v>
      </c>
      <c r="G22" s="3" t="str">
        <f t="shared" si="1"/>
        <v/>
      </c>
    </row>
    <row r="23" spans="1:7" ht="15" customHeight="1" x14ac:dyDescent="0.35">
      <c r="A23" s="10">
        <v>2022</v>
      </c>
      <c r="B23" s="11" t="s">
        <v>106</v>
      </c>
      <c r="C23" s="24" t="s">
        <v>101</v>
      </c>
      <c r="D23" s="6" t="s">
        <v>8</v>
      </c>
      <c r="E23" s="13" t="s">
        <v>65</v>
      </c>
      <c r="F23" s="1">
        <v>0</v>
      </c>
      <c r="G23" s="3" t="str">
        <f t="shared" ref="G23:G24" si="2">IF(OR(AND(F23&gt;1,F23&lt;&gt;"-")),"Can exchange","")</f>
        <v/>
      </c>
    </row>
    <row r="24" spans="1:7" ht="15" customHeight="1" x14ac:dyDescent="0.35">
      <c r="A24" s="10">
        <v>2023</v>
      </c>
      <c r="B24" s="11" t="s">
        <v>106</v>
      </c>
      <c r="C24" s="24" t="s">
        <v>101</v>
      </c>
      <c r="D24" s="6" t="s">
        <v>8</v>
      </c>
      <c r="E24" s="13" t="s">
        <v>62</v>
      </c>
      <c r="F24" s="1">
        <v>0</v>
      </c>
      <c r="G24" s="3" t="str">
        <f t="shared" si="2"/>
        <v/>
      </c>
    </row>
    <row r="25" spans="1:7" ht="15" customHeight="1" x14ac:dyDescent="0.35">
      <c r="A25" s="10">
        <v>2024</v>
      </c>
      <c r="B25" s="11" t="s">
        <v>106</v>
      </c>
      <c r="C25" s="24" t="s">
        <v>101</v>
      </c>
      <c r="D25" s="6" t="s">
        <v>8</v>
      </c>
      <c r="E25" s="13" t="s">
        <v>39</v>
      </c>
      <c r="F25" s="1">
        <v>0</v>
      </c>
      <c r="G25" s="3" t="str">
        <f>IF(OR(AND(F25&gt;1,F25&lt;&gt;"-")),"Can exchange","")</f>
        <v/>
      </c>
    </row>
    <row r="26" spans="1:7" ht="15" customHeight="1" x14ac:dyDescent="0.35">
      <c r="A26" s="10">
        <v>2025</v>
      </c>
      <c r="B26" s="11" t="s">
        <v>106</v>
      </c>
      <c r="C26" s="24" t="s">
        <v>101</v>
      </c>
      <c r="D26" s="6" t="s">
        <v>8</v>
      </c>
      <c r="E26" s="25" t="s">
        <v>134</v>
      </c>
      <c r="F26" s="1" t="s">
        <v>110</v>
      </c>
      <c r="G26" s="3" t="str">
        <f t="shared" ref="G26" si="3">IF(OR(AND(F26&gt;1,F26&lt;&gt;"-")),"Can exchange","")</f>
        <v/>
      </c>
    </row>
  </sheetData>
  <autoFilter ref="B2:E2" xr:uid="{00000000-0001-0000-0400-000000000000}"/>
  <mergeCells count="2">
    <mergeCell ref="A1:A2"/>
    <mergeCell ref="C1:D1"/>
  </mergeCells>
  <phoneticPr fontId="8" type="noConversion"/>
  <conditionalFormatting sqref="F3:F20 F22 F24">
    <cfRule type="containsText" dxfId="27" priority="11" operator="containsText" text="*-">
      <formula>NOT(ISERROR(SEARCH(("*-"),(F3))))</formula>
    </cfRule>
  </conditionalFormatting>
  <conditionalFormatting sqref="F3:F20 F22 F24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1 F23">
    <cfRule type="containsText" dxfId="26" priority="9" operator="containsText" text="*-">
      <formula>NOT(ISERROR(SEARCH(("*-"),(F21))))</formula>
    </cfRule>
  </conditionalFormatting>
  <conditionalFormatting sqref="F23 F21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5">
    <cfRule type="containsText" dxfId="11" priority="3" operator="containsText" text="*-">
      <formula>NOT(ISERROR(SEARCH(("*-"),(F25))))</formula>
    </cfRule>
  </conditionalFormatting>
  <conditionalFormatting sqref="F25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6">
    <cfRule type="containsText" dxfId="10" priority="1" operator="containsText" text="*-">
      <formula>NOT(ISERROR(SEARCH(("*-"),(F26))))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6"/>
  <sheetViews>
    <sheetView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E26" sqref="E26:G26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4" width="33.6328125" style="4" customWidth="1"/>
    <col min="5" max="5" width="12.6328125" style="4" customWidth="1"/>
    <col min="6" max="6" width="3.6328125" style="4" customWidth="1"/>
    <col min="7" max="7" width="12.6328125" style="4" customWidth="1"/>
  </cols>
  <sheetData>
    <row r="1" spans="1:9" ht="15" customHeight="1" x14ac:dyDescent="0.35">
      <c r="A1" s="28" t="s">
        <v>0</v>
      </c>
      <c r="B1" s="27"/>
      <c r="C1" s="30" t="s">
        <v>1</v>
      </c>
      <c r="D1" s="31"/>
      <c r="E1" s="8" t="s">
        <v>2</v>
      </c>
      <c r="F1" s="22" t="s">
        <v>10</v>
      </c>
      <c r="G1" s="2"/>
    </row>
    <row r="2" spans="1:9" ht="15" customHeight="1" x14ac:dyDescent="0.35">
      <c r="A2" s="29"/>
      <c r="B2" s="27" t="s">
        <v>128</v>
      </c>
      <c r="C2" s="7" t="s">
        <v>129</v>
      </c>
      <c r="D2" s="7" t="s">
        <v>132</v>
      </c>
      <c r="E2" s="9" t="s">
        <v>27</v>
      </c>
      <c r="F2" s="7" t="s">
        <v>27</v>
      </c>
      <c r="G2" s="2"/>
    </row>
    <row r="3" spans="1:9" ht="15" customHeight="1" x14ac:dyDescent="0.35">
      <c r="A3" s="10">
        <v>2002</v>
      </c>
      <c r="B3" s="11" t="s">
        <v>107</v>
      </c>
      <c r="C3" s="24" t="s">
        <v>101</v>
      </c>
      <c r="D3" s="6" t="s">
        <v>7</v>
      </c>
      <c r="E3" s="13" t="s">
        <v>79</v>
      </c>
      <c r="F3" s="1">
        <v>4</v>
      </c>
      <c r="G3" s="3" t="str">
        <f t="shared" ref="G3:G20" si="0">IF(OR(AND(F3&gt;1,F3&lt;&gt;"-")),"Can exchange","")</f>
        <v>Can exchange</v>
      </c>
      <c r="I3" s="5"/>
    </row>
    <row r="4" spans="1:9" ht="15" customHeight="1" x14ac:dyDescent="0.35">
      <c r="A4" s="10">
        <v>2003</v>
      </c>
      <c r="B4" s="11" t="s">
        <v>107</v>
      </c>
      <c r="C4" s="24" t="s">
        <v>101</v>
      </c>
      <c r="D4" s="6" t="s">
        <v>7</v>
      </c>
      <c r="E4" s="13" t="s">
        <v>80</v>
      </c>
      <c r="F4" s="1">
        <v>0</v>
      </c>
      <c r="G4" s="3" t="str">
        <f t="shared" si="0"/>
        <v/>
      </c>
      <c r="I4" s="5"/>
    </row>
    <row r="5" spans="1:9" ht="15" customHeight="1" x14ac:dyDescent="0.35">
      <c r="A5" s="10">
        <v>2004</v>
      </c>
      <c r="B5" s="11" t="s">
        <v>107</v>
      </c>
      <c r="C5" s="24" t="s">
        <v>101</v>
      </c>
      <c r="D5" s="6" t="s">
        <v>7</v>
      </c>
      <c r="E5" s="13" t="s">
        <v>68</v>
      </c>
      <c r="F5" s="1">
        <v>0</v>
      </c>
      <c r="G5" s="3" t="str">
        <f t="shared" si="0"/>
        <v/>
      </c>
    </row>
    <row r="6" spans="1:9" ht="15" customHeight="1" x14ac:dyDescent="0.35">
      <c r="A6" s="10">
        <v>2005</v>
      </c>
      <c r="B6" s="11" t="s">
        <v>107</v>
      </c>
      <c r="C6" s="24" t="s">
        <v>101</v>
      </c>
      <c r="D6" s="6" t="s">
        <v>7</v>
      </c>
      <c r="E6" s="13" t="s">
        <v>68</v>
      </c>
      <c r="F6" s="1">
        <v>0</v>
      </c>
      <c r="G6" s="3" t="str">
        <f t="shared" si="0"/>
        <v/>
      </c>
    </row>
    <row r="7" spans="1:9" ht="15" customHeight="1" x14ac:dyDescent="0.35">
      <c r="A7" s="10">
        <v>2006</v>
      </c>
      <c r="B7" s="11" t="s">
        <v>107</v>
      </c>
      <c r="C7" s="24" t="s">
        <v>101</v>
      </c>
      <c r="D7" s="6" t="s">
        <v>7</v>
      </c>
      <c r="E7" s="13" t="s">
        <v>68</v>
      </c>
      <c r="F7" s="1">
        <v>0</v>
      </c>
      <c r="G7" s="3" t="str">
        <f t="shared" si="0"/>
        <v/>
      </c>
    </row>
    <row r="8" spans="1:9" ht="15" customHeight="1" x14ac:dyDescent="0.35">
      <c r="A8" s="10">
        <v>2007</v>
      </c>
      <c r="B8" s="11" t="s">
        <v>107</v>
      </c>
      <c r="C8" s="24" t="s">
        <v>101</v>
      </c>
      <c r="D8" s="6" t="s">
        <v>7</v>
      </c>
      <c r="E8" s="13" t="s">
        <v>68</v>
      </c>
      <c r="F8" s="1">
        <v>0</v>
      </c>
      <c r="G8" s="3" t="str">
        <f t="shared" si="0"/>
        <v/>
      </c>
    </row>
    <row r="9" spans="1:9" ht="15" customHeight="1" x14ac:dyDescent="0.35">
      <c r="A9" s="10">
        <v>2008</v>
      </c>
      <c r="B9" s="11" t="s">
        <v>107</v>
      </c>
      <c r="C9" s="24" t="s">
        <v>101</v>
      </c>
      <c r="D9" s="6" t="s">
        <v>8</v>
      </c>
      <c r="E9" s="13" t="s">
        <v>68</v>
      </c>
      <c r="F9" s="1">
        <v>0</v>
      </c>
      <c r="G9" s="3" t="str">
        <f t="shared" si="0"/>
        <v/>
      </c>
    </row>
    <row r="10" spans="1:9" ht="15" customHeight="1" x14ac:dyDescent="0.35">
      <c r="A10" s="10">
        <v>2009</v>
      </c>
      <c r="B10" s="11" t="s">
        <v>107</v>
      </c>
      <c r="C10" s="24" t="s">
        <v>101</v>
      </c>
      <c r="D10" s="6" t="s">
        <v>8</v>
      </c>
      <c r="E10" s="13" t="s">
        <v>81</v>
      </c>
      <c r="F10" s="1">
        <v>0</v>
      </c>
      <c r="G10" s="3" t="str">
        <f t="shared" si="0"/>
        <v/>
      </c>
    </row>
    <row r="11" spans="1:9" ht="15" customHeight="1" x14ac:dyDescent="0.35">
      <c r="A11" s="10">
        <v>2010</v>
      </c>
      <c r="B11" s="11" t="s">
        <v>107</v>
      </c>
      <c r="C11" s="24" t="s">
        <v>101</v>
      </c>
      <c r="D11" s="6" t="s">
        <v>8</v>
      </c>
      <c r="E11" s="13" t="s">
        <v>82</v>
      </c>
      <c r="F11" s="1">
        <v>0</v>
      </c>
      <c r="G11" s="3" t="str">
        <f t="shared" si="0"/>
        <v/>
      </c>
    </row>
    <row r="12" spans="1:9" ht="15" customHeight="1" x14ac:dyDescent="0.35">
      <c r="A12" s="10">
        <v>2011</v>
      </c>
      <c r="B12" s="11" t="s">
        <v>107</v>
      </c>
      <c r="C12" s="24" t="s">
        <v>101</v>
      </c>
      <c r="D12" s="6" t="s">
        <v>8</v>
      </c>
      <c r="E12" s="13" t="s">
        <v>68</v>
      </c>
      <c r="F12" s="1">
        <v>0</v>
      </c>
      <c r="G12" s="3" t="str">
        <f t="shared" si="0"/>
        <v/>
      </c>
    </row>
    <row r="13" spans="1:9" ht="15" customHeight="1" x14ac:dyDescent="0.35">
      <c r="A13" s="10">
        <v>2012</v>
      </c>
      <c r="B13" s="11" t="s">
        <v>107</v>
      </c>
      <c r="C13" s="24" t="s">
        <v>101</v>
      </c>
      <c r="D13" s="6" t="s">
        <v>8</v>
      </c>
      <c r="E13" s="13" t="s">
        <v>68</v>
      </c>
      <c r="F13" s="1">
        <v>0</v>
      </c>
      <c r="G13" s="3" t="str">
        <f t="shared" si="0"/>
        <v/>
      </c>
    </row>
    <row r="14" spans="1:9" ht="15" customHeight="1" x14ac:dyDescent="0.35">
      <c r="A14" s="10">
        <v>2013</v>
      </c>
      <c r="B14" s="11" t="s">
        <v>107</v>
      </c>
      <c r="C14" s="24" t="s">
        <v>101</v>
      </c>
      <c r="D14" s="6" t="s">
        <v>8</v>
      </c>
      <c r="E14" s="13" t="s">
        <v>68</v>
      </c>
      <c r="F14" s="1">
        <v>0</v>
      </c>
      <c r="G14" s="3" t="str">
        <f t="shared" si="0"/>
        <v/>
      </c>
    </row>
    <row r="15" spans="1:9" ht="15" customHeight="1" x14ac:dyDescent="0.35">
      <c r="A15" s="10">
        <v>2014</v>
      </c>
      <c r="B15" s="11" t="s">
        <v>107</v>
      </c>
      <c r="C15" s="24" t="s">
        <v>101</v>
      </c>
      <c r="D15" s="6" t="s">
        <v>8</v>
      </c>
      <c r="E15" s="13" t="s">
        <v>68</v>
      </c>
      <c r="F15" s="1">
        <v>0</v>
      </c>
      <c r="G15" s="3" t="str">
        <f t="shared" si="0"/>
        <v/>
      </c>
    </row>
    <row r="16" spans="1:9" ht="15" customHeight="1" x14ac:dyDescent="0.35">
      <c r="A16" s="10">
        <v>2015</v>
      </c>
      <c r="B16" s="11" t="s">
        <v>107</v>
      </c>
      <c r="C16" s="24" t="s">
        <v>101</v>
      </c>
      <c r="D16" s="6" t="s">
        <v>8</v>
      </c>
      <c r="E16" s="13" t="s">
        <v>68</v>
      </c>
      <c r="F16" s="1">
        <v>0</v>
      </c>
      <c r="G16" s="3" t="str">
        <f t="shared" si="0"/>
        <v/>
      </c>
    </row>
    <row r="17" spans="1:7" ht="15" customHeight="1" x14ac:dyDescent="0.35">
      <c r="A17" s="10">
        <v>2016</v>
      </c>
      <c r="B17" s="11" t="s">
        <v>107</v>
      </c>
      <c r="C17" s="24" t="s">
        <v>101</v>
      </c>
      <c r="D17" s="6" t="s">
        <v>8</v>
      </c>
      <c r="E17" s="13" t="s">
        <v>68</v>
      </c>
      <c r="F17" s="1">
        <v>0</v>
      </c>
      <c r="G17" s="3" t="str">
        <f t="shared" si="0"/>
        <v/>
      </c>
    </row>
    <row r="18" spans="1:7" ht="15" customHeight="1" x14ac:dyDescent="0.35">
      <c r="A18" s="10">
        <v>2017</v>
      </c>
      <c r="B18" s="11" t="s">
        <v>107</v>
      </c>
      <c r="C18" s="24" t="s">
        <v>101</v>
      </c>
      <c r="D18" s="6" t="s">
        <v>8</v>
      </c>
      <c r="E18" s="13" t="s">
        <v>83</v>
      </c>
      <c r="F18" s="1">
        <v>0</v>
      </c>
      <c r="G18" s="3" t="str">
        <f t="shared" si="0"/>
        <v/>
      </c>
    </row>
    <row r="19" spans="1:7" ht="15" customHeight="1" x14ac:dyDescent="0.35">
      <c r="A19" s="10">
        <v>2018</v>
      </c>
      <c r="B19" s="11" t="s">
        <v>107</v>
      </c>
      <c r="C19" s="24" t="s">
        <v>101</v>
      </c>
      <c r="D19" s="6" t="s">
        <v>8</v>
      </c>
      <c r="E19" s="13" t="s">
        <v>94</v>
      </c>
      <c r="F19" s="1">
        <v>0</v>
      </c>
      <c r="G19" s="3" t="str">
        <f t="shared" si="0"/>
        <v/>
      </c>
    </row>
    <row r="20" spans="1:7" ht="15" customHeight="1" x14ac:dyDescent="0.35">
      <c r="A20" s="10">
        <v>2019</v>
      </c>
      <c r="B20" s="11" t="s">
        <v>107</v>
      </c>
      <c r="C20" s="24" t="s">
        <v>101</v>
      </c>
      <c r="D20" s="6" t="s">
        <v>8</v>
      </c>
      <c r="E20" s="13" t="s">
        <v>119</v>
      </c>
      <c r="F20" s="1">
        <v>0</v>
      </c>
      <c r="G20" s="3" t="str">
        <f t="shared" si="0"/>
        <v/>
      </c>
    </row>
    <row r="21" spans="1:7" ht="15" customHeight="1" x14ac:dyDescent="0.35">
      <c r="A21" s="10">
        <v>2020</v>
      </c>
      <c r="B21" s="11" t="s">
        <v>107</v>
      </c>
      <c r="C21" s="24" t="s">
        <v>101</v>
      </c>
      <c r="D21" s="6" t="s">
        <v>8</v>
      </c>
      <c r="E21" s="13" t="s">
        <v>119</v>
      </c>
      <c r="F21" s="1">
        <v>0</v>
      </c>
      <c r="G21" s="3" t="str">
        <f t="shared" ref="G21:G22" si="1">IF(OR(AND(F21&gt;1,F21&lt;&gt;"-")),"Can exchange","")</f>
        <v/>
      </c>
    </row>
    <row r="22" spans="1:7" ht="15" customHeight="1" x14ac:dyDescent="0.35">
      <c r="A22" s="10">
        <v>2021</v>
      </c>
      <c r="B22" s="11" t="s">
        <v>107</v>
      </c>
      <c r="C22" s="24" t="s">
        <v>101</v>
      </c>
      <c r="D22" s="6" t="s">
        <v>8</v>
      </c>
      <c r="E22" s="13" t="s">
        <v>119</v>
      </c>
      <c r="F22" s="1">
        <v>0</v>
      </c>
      <c r="G22" s="3" t="str">
        <f t="shared" si="1"/>
        <v/>
      </c>
    </row>
    <row r="23" spans="1:7" ht="15" customHeight="1" x14ac:dyDescent="0.35">
      <c r="A23" s="10">
        <v>2022</v>
      </c>
      <c r="B23" s="11" t="s">
        <v>107</v>
      </c>
      <c r="C23" s="24" t="s">
        <v>101</v>
      </c>
      <c r="D23" s="6" t="s">
        <v>8</v>
      </c>
      <c r="E23" s="13" t="s">
        <v>119</v>
      </c>
      <c r="F23" s="1">
        <v>0</v>
      </c>
      <c r="G23" s="3" t="str">
        <f t="shared" ref="G23:G24" si="2">IF(OR(AND(F23&gt;1,F23&lt;&gt;"-")),"Can exchange","")</f>
        <v/>
      </c>
    </row>
    <row r="24" spans="1:7" ht="15" customHeight="1" x14ac:dyDescent="0.35">
      <c r="A24" s="10">
        <v>2023</v>
      </c>
      <c r="B24" s="11" t="s">
        <v>107</v>
      </c>
      <c r="C24" s="24" t="s">
        <v>101</v>
      </c>
      <c r="D24" s="6" t="s">
        <v>8</v>
      </c>
      <c r="E24" s="13" t="s">
        <v>119</v>
      </c>
      <c r="F24" s="1">
        <v>0</v>
      </c>
      <c r="G24" s="3" t="str">
        <f t="shared" si="2"/>
        <v/>
      </c>
    </row>
    <row r="25" spans="1:7" ht="15" customHeight="1" x14ac:dyDescent="0.35">
      <c r="A25" s="10">
        <v>2024</v>
      </c>
      <c r="B25" s="11" t="s">
        <v>107</v>
      </c>
      <c r="C25" s="24" t="s">
        <v>101</v>
      </c>
      <c r="D25" s="6" t="s">
        <v>8</v>
      </c>
      <c r="E25" s="13" t="s">
        <v>41</v>
      </c>
      <c r="F25" s="1">
        <v>0</v>
      </c>
      <c r="G25" s="3" t="str">
        <f>IF(OR(AND(F25&gt;1,F25&lt;&gt;"-")),"Can exchange","")</f>
        <v/>
      </c>
    </row>
    <row r="26" spans="1:7" ht="15" customHeight="1" x14ac:dyDescent="0.35">
      <c r="A26" s="10">
        <v>2025</v>
      </c>
      <c r="B26" s="11" t="s">
        <v>107</v>
      </c>
      <c r="C26" s="24" t="s">
        <v>101</v>
      </c>
      <c r="D26" s="6" t="s">
        <v>8</v>
      </c>
      <c r="E26" s="25" t="s">
        <v>134</v>
      </c>
      <c r="F26" s="1" t="s">
        <v>110</v>
      </c>
      <c r="G26" s="3" t="str">
        <f t="shared" ref="G26" si="3">IF(OR(AND(F26&gt;1,F26&lt;&gt;"-")),"Can exchange","")</f>
        <v/>
      </c>
    </row>
  </sheetData>
  <autoFilter ref="B2:E2" xr:uid="{00000000-0001-0000-0500-000000000000}"/>
  <mergeCells count="2">
    <mergeCell ref="A1:A2"/>
    <mergeCell ref="C1:D1"/>
  </mergeCells>
  <phoneticPr fontId="8" type="noConversion"/>
  <conditionalFormatting sqref="F3:F20 F22 F24">
    <cfRule type="containsText" dxfId="23" priority="11" operator="containsText" text="*-">
      <formula>NOT(ISERROR(SEARCH(("*-"),(F3))))</formula>
    </cfRule>
  </conditionalFormatting>
  <conditionalFormatting sqref="F3:F20 F22 F24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1 F23">
    <cfRule type="containsText" dxfId="22" priority="9" operator="containsText" text="*-">
      <formula>NOT(ISERROR(SEARCH(("*-"),(F21))))</formula>
    </cfRule>
  </conditionalFormatting>
  <conditionalFormatting sqref="F23 F21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5">
    <cfRule type="containsText" dxfId="7" priority="3" operator="containsText" text="*-">
      <formula>NOT(ISERROR(SEARCH(("*-"),(F25))))</formula>
    </cfRule>
  </conditionalFormatting>
  <conditionalFormatting sqref="F25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6">
    <cfRule type="containsText" dxfId="6" priority="1" operator="containsText" text="*-">
      <formula>NOT(ISERROR(SEARCH(("*-"),(F26))))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7"/>
  <sheetViews>
    <sheetView workbookViewId="0">
      <pane xSplit="8" ySplit="2" topLeftCell="I3" activePane="bottomRight" state="frozen"/>
      <selection pane="topRight" activeCell="H1" sqref="H1"/>
      <selection pane="bottomLeft" activeCell="A3" sqref="A3"/>
      <selection pane="bottomRight" activeCell="F27" sqref="F27:H27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5" width="33.6328125" style="4" customWidth="1"/>
    <col min="6" max="6" width="12.6328125" style="4" customWidth="1"/>
    <col min="7" max="7" width="3.6328125" style="4" customWidth="1"/>
    <col min="8" max="8" width="12.6328125" style="4" customWidth="1"/>
  </cols>
  <sheetData>
    <row r="1" spans="1:10" ht="15" customHeight="1" x14ac:dyDescent="0.35">
      <c r="A1" s="28" t="s">
        <v>0</v>
      </c>
      <c r="B1" s="27"/>
      <c r="C1" s="30" t="s">
        <v>1</v>
      </c>
      <c r="D1" s="32"/>
      <c r="E1" s="31"/>
      <c r="F1" s="8" t="s">
        <v>2</v>
      </c>
      <c r="G1" s="22" t="s">
        <v>11</v>
      </c>
      <c r="H1" s="2"/>
    </row>
    <row r="2" spans="1:10" ht="15" customHeight="1" x14ac:dyDescent="0.35">
      <c r="A2" s="29"/>
      <c r="B2" s="27" t="s">
        <v>128</v>
      </c>
      <c r="C2" s="7" t="s">
        <v>129</v>
      </c>
      <c r="D2" s="7" t="s">
        <v>132</v>
      </c>
      <c r="E2" s="7" t="s">
        <v>131</v>
      </c>
      <c r="F2" s="9" t="s">
        <v>27</v>
      </c>
      <c r="G2" s="7" t="s">
        <v>27</v>
      </c>
      <c r="H2" s="2"/>
    </row>
    <row r="3" spans="1:10" ht="15" customHeight="1" x14ac:dyDescent="0.35">
      <c r="A3" s="10">
        <v>2002</v>
      </c>
      <c r="B3" s="11" t="s">
        <v>108</v>
      </c>
      <c r="C3" s="24" t="s">
        <v>101</v>
      </c>
      <c r="D3" s="6" t="s">
        <v>7</v>
      </c>
      <c r="E3" s="12"/>
      <c r="F3" s="13" t="s">
        <v>84</v>
      </c>
      <c r="G3" s="1">
        <v>3</v>
      </c>
      <c r="H3" s="3" t="str">
        <f t="shared" ref="H3:H21" si="0">IF(OR(AND(G3&gt;1,G3&lt;&gt;"-")),"Can exchange","")</f>
        <v>Can exchange</v>
      </c>
      <c r="J3" s="5"/>
    </row>
    <row r="4" spans="1:10" ht="15" customHeight="1" x14ac:dyDescent="0.35">
      <c r="A4" s="10">
        <v>2002</v>
      </c>
      <c r="B4" s="11" t="s">
        <v>108</v>
      </c>
      <c r="C4" s="24" t="s">
        <v>101</v>
      </c>
      <c r="D4" s="6" t="s">
        <v>7</v>
      </c>
      <c r="E4" s="12" t="s">
        <v>100</v>
      </c>
      <c r="F4" s="13" t="s">
        <v>97</v>
      </c>
      <c r="G4" s="1" t="s">
        <v>110</v>
      </c>
      <c r="H4" s="3" t="str">
        <f t="shared" ref="H4" si="1">IF(OR(AND(G4&gt;1,G4&lt;&gt;"-")),"Can exchange","")</f>
        <v/>
      </c>
      <c r="J4" s="5"/>
    </row>
    <row r="5" spans="1:10" ht="15" customHeight="1" x14ac:dyDescent="0.35">
      <c r="A5" s="10">
        <v>2003</v>
      </c>
      <c r="B5" s="11" t="s">
        <v>108</v>
      </c>
      <c r="C5" s="24" t="s">
        <v>101</v>
      </c>
      <c r="D5" s="6" t="s">
        <v>7</v>
      </c>
      <c r="E5" s="12"/>
      <c r="F5" s="13" t="s">
        <v>85</v>
      </c>
      <c r="G5" s="1">
        <v>0</v>
      </c>
      <c r="H5" s="3" t="str">
        <f t="shared" si="0"/>
        <v/>
      </c>
      <c r="I5" s="14"/>
      <c r="J5" s="5"/>
    </row>
    <row r="6" spans="1:10" ht="15" customHeight="1" x14ac:dyDescent="0.35">
      <c r="A6" s="10">
        <v>2004</v>
      </c>
      <c r="B6" s="11" t="s">
        <v>108</v>
      </c>
      <c r="C6" s="24" t="s">
        <v>101</v>
      </c>
      <c r="D6" s="6" t="s">
        <v>7</v>
      </c>
      <c r="E6" s="12"/>
      <c r="F6" s="13" t="s">
        <v>68</v>
      </c>
      <c r="G6" s="1">
        <v>0</v>
      </c>
      <c r="H6" s="3" t="str">
        <f t="shared" si="0"/>
        <v/>
      </c>
    </row>
    <row r="7" spans="1:10" ht="15" customHeight="1" x14ac:dyDescent="0.35">
      <c r="A7" s="10">
        <v>2005</v>
      </c>
      <c r="B7" s="11" t="s">
        <v>108</v>
      </c>
      <c r="C7" s="24" t="s">
        <v>101</v>
      </c>
      <c r="D7" s="6" t="s">
        <v>7</v>
      </c>
      <c r="E7" s="12"/>
      <c r="F7" s="13" t="s">
        <v>68</v>
      </c>
      <c r="G7" s="1">
        <v>0</v>
      </c>
      <c r="H7" s="3" t="str">
        <f t="shared" si="0"/>
        <v/>
      </c>
    </row>
    <row r="8" spans="1:10" ht="15" customHeight="1" x14ac:dyDescent="0.35">
      <c r="A8" s="10">
        <v>2006</v>
      </c>
      <c r="B8" s="11" t="s">
        <v>108</v>
      </c>
      <c r="C8" s="24" t="s">
        <v>101</v>
      </c>
      <c r="D8" s="6" t="s">
        <v>7</v>
      </c>
      <c r="E8" s="12"/>
      <c r="F8" s="13" t="s">
        <v>86</v>
      </c>
      <c r="G8" s="1">
        <v>1</v>
      </c>
      <c r="H8" s="3" t="str">
        <f t="shared" si="0"/>
        <v/>
      </c>
    </row>
    <row r="9" spans="1:10" ht="15" customHeight="1" x14ac:dyDescent="0.35">
      <c r="A9" s="10">
        <v>2007</v>
      </c>
      <c r="B9" s="11" t="s">
        <v>108</v>
      </c>
      <c r="C9" s="24" t="s">
        <v>101</v>
      </c>
      <c r="D9" s="6" t="s">
        <v>7</v>
      </c>
      <c r="E9" s="12"/>
      <c r="F9" s="13" t="s">
        <v>48</v>
      </c>
      <c r="G9" s="1">
        <v>0</v>
      </c>
      <c r="H9" s="3" t="str">
        <f t="shared" si="0"/>
        <v/>
      </c>
    </row>
    <row r="10" spans="1:10" ht="15" customHeight="1" x14ac:dyDescent="0.35">
      <c r="A10" s="10">
        <v>2008</v>
      </c>
      <c r="B10" s="11" t="s">
        <v>108</v>
      </c>
      <c r="C10" s="24" t="s">
        <v>101</v>
      </c>
      <c r="D10" s="6" t="s">
        <v>8</v>
      </c>
      <c r="E10" s="12"/>
      <c r="F10" s="13" t="s">
        <v>48</v>
      </c>
      <c r="G10" s="1">
        <v>1</v>
      </c>
      <c r="H10" s="3" t="str">
        <f t="shared" si="0"/>
        <v/>
      </c>
    </row>
    <row r="11" spans="1:10" ht="15" customHeight="1" x14ac:dyDescent="0.35">
      <c r="A11" s="10">
        <v>2009</v>
      </c>
      <c r="B11" s="11" t="s">
        <v>108</v>
      </c>
      <c r="C11" s="24" t="s">
        <v>101</v>
      </c>
      <c r="D11" s="6" t="s">
        <v>8</v>
      </c>
      <c r="E11" s="12"/>
      <c r="F11" s="13" t="s">
        <v>87</v>
      </c>
      <c r="G11" s="1">
        <v>1</v>
      </c>
      <c r="H11" s="3" t="str">
        <f t="shared" si="0"/>
        <v/>
      </c>
    </row>
    <row r="12" spans="1:10" ht="15" customHeight="1" x14ac:dyDescent="0.35">
      <c r="A12" s="10">
        <v>2010</v>
      </c>
      <c r="B12" s="11" t="s">
        <v>108</v>
      </c>
      <c r="C12" s="24" t="s">
        <v>101</v>
      </c>
      <c r="D12" s="6" t="s">
        <v>8</v>
      </c>
      <c r="E12" s="12"/>
      <c r="F12" s="13" t="s">
        <v>88</v>
      </c>
      <c r="G12" s="1">
        <v>0</v>
      </c>
      <c r="H12" s="3" t="str">
        <f t="shared" si="0"/>
        <v/>
      </c>
    </row>
    <row r="13" spans="1:10" ht="15" customHeight="1" x14ac:dyDescent="0.35">
      <c r="A13" s="10">
        <v>2011</v>
      </c>
      <c r="B13" s="11" t="s">
        <v>108</v>
      </c>
      <c r="C13" s="24" t="s">
        <v>101</v>
      </c>
      <c r="D13" s="6" t="s">
        <v>8</v>
      </c>
      <c r="E13" s="12"/>
      <c r="F13" s="13" t="s">
        <v>89</v>
      </c>
      <c r="G13" s="1">
        <v>0</v>
      </c>
      <c r="H13" s="3" t="str">
        <f t="shared" si="0"/>
        <v/>
      </c>
    </row>
    <row r="14" spans="1:10" ht="15" customHeight="1" x14ac:dyDescent="0.35">
      <c r="A14" s="10">
        <v>2012</v>
      </c>
      <c r="B14" s="11" t="s">
        <v>108</v>
      </c>
      <c r="C14" s="24" t="s">
        <v>101</v>
      </c>
      <c r="D14" s="6" t="s">
        <v>8</v>
      </c>
      <c r="E14" s="12"/>
      <c r="F14" s="13" t="s">
        <v>68</v>
      </c>
      <c r="G14" s="1">
        <v>0</v>
      </c>
      <c r="H14" s="3" t="str">
        <f t="shared" si="0"/>
        <v/>
      </c>
    </row>
    <row r="15" spans="1:10" ht="15" customHeight="1" x14ac:dyDescent="0.35">
      <c r="A15" s="10">
        <v>2013</v>
      </c>
      <c r="B15" s="11" t="s">
        <v>108</v>
      </c>
      <c r="C15" s="24" t="s">
        <v>101</v>
      </c>
      <c r="D15" s="6" t="s">
        <v>8</v>
      </c>
      <c r="E15" s="12"/>
      <c r="F15" s="13" t="s">
        <v>68</v>
      </c>
      <c r="G15" s="1">
        <v>0</v>
      </c>
      <c r="H15" s="3" t="str">
        <f t="shared" si="0"/>
        <v/>
      </c>
    </row>
    <row r="16" spans="1:10" ht="15" customHeight="1" x14ac:dyDescent="0.35">
      <c r="A16" s="10">
        <v>2014</v>
      </c>
      <c r="B16" s="11" t="s">
        <v>108</v>
      </c>
      <c r="C16" s="24" t="s">
        <v>101</v>
      </c>
      <c r="D16" s="6" t="s">
        <v>8</v>
      </c>
      <c r="E16" s="12"/>
      <c r="F16" s="13" t="s">
        <v>68</v>
      </c>
      <c r="G16" s="1">
        <v>0</v>
      </c>
      <c r="H16" s="3" t="str">
        <f t="shared" si="0"/>
        <v/>
      </c>
    </row>
    <row r="17" spans="1:20" ht="15" customHeight="1" x14ac:dyDescent="0.35">
      <c r="A17" s="10">
        <v>2015</v>
      </c>
      <c r="B17" s="11" t="s">
        <v>108</v>
      </c>
      <c r="C17" s="24" t="s">
        <v>101</v>
      </c>
      <c r="D17" s="6" t="s">
        <v>8</v>
      </c>
      <c r="E17" s="12"/>
      <c r="F17" s="13" t="s">
        <v>68</v>
      </c>
      <c r="G17" s="1">
        <v>0</v>
      </c>
      <c r="H17" s="3" t="str">
        <f t="shared" si="0"/>
        <v/>
      </c>
    </row>
    <row r="18" spans="1:20" ht="15" customHeight="1" x14ac:dyDescent="0.35">
      <c r="A18" s="10">
        <v>2016</v>
      </c>
      <c r="B18" s="11" t="s">
        <v>108</v>
      </c>
      <c r="C18" s="24" t="s">
        <v>101</v>
      </c>
      <c r="D18" s="6" t="s">
        <v>8</v>
      </c>
      <c r="E18" s="12"/>
      <c r="F18" s="13" t="s">
        <v>83</v>
      </c>
      <c r="G18" s="1">
        <v>0</v>
      </c>
      <c r="H18" s="3" t="str">
        <f t="shared" si="0"/>
        <v/>
      </c>
    </row>
    <row r="19" spans="1:20" ht="15" customHeight="1" x14ac:dyDescent="0.35">
      <c r="A19" s="10">
        <v>2017</v>
      </c>
      <c r="B19" s="11" t="s">
        <v>108</v>
      </c>
      <c r="C19" s="24" t="s">
        <v>101</v>
      </c>
      <c r="D19" s="6" t="s">
        <v>8</v>
      </c>
      <c r="E19" s="12"/>
      <c r="F19" s="13" t="s">
        <v>83</v>
      </c>
      <c r="G19" s="1">
        <v>0</v>
      </c>
      <c r="H19" s="3" t="str">
        <f t="shared" si="0"/>
        <v/>
      </c>
    </row>
    <row r="20" spans="1:20" ht="15" customHeight="1" x14ac:dyDescent="0.35">
      <c r="A20" s="10">
        <v>2018</v>
      </c>
      <c r="B20" s="11" t="s">
        <v>108</v>
      </c>
      <c r="C20" s="24" t="s">
        <v>101</v>
      </c>
      <c r="D20" s="6" t="s">
        <v>8</v>
      </c>
      <c r="E20" s="12"/>
      <c r="F20" s="13" t="s">
        <v>120</v>
      </c>
      <c r="G20" s="1">
        <v>0</v>
      </c>
      <c r="H20" s="3" t="str">
        <f t="shared" si="0"/>
        <v/>
      </c>
    </row>
    <row r="21" spans="1:20" ht="15" customHeight="1" x14ac:dyDescent="0.35">
      <c r="A21" s="10">
        <v>2019</v>
      </c>
      <c r="B21" s="11" t="s">
        <v>108</v>
      </c>
      <c r="C21" s="24" t="s">
        <v>101</v>
      </c>
      <c r="D21" s="6" t="s">
        <v>8</v>
      </c>
      <c r="E21" s="12"/>
      <c r="F21" s="13" t="s">
        <v>120</v>
      </c>
      <c r="G21" s="1">
        <v>0</v>
      </c>
      <c r="H21" s="3" t="str">
        <f t="shared" si="0"/>
        <v/>
      </c>
    </row>
    <row r="22" spans="1:20" ht="15" customHeight="1" x14ac:dyDescent="0.35">
      <c r="A22" s="10">
        <v>2020</v>
      </c>
      <c r="B22" s="11" t="s">
        <v>108</v>
      </c>
      <c r="C22" s="24" t="s">
        <v>101</v>
      </c>
      <c r="D22" s="6" t="s">
        <v>8</v>
      </c>
      <c r="E22" s="12"/>
      <c r="F22" s="13" t="s">
        <v>120</v>
      </c>
      <c r="G22" s="1">
        <v>0</v>
      </c>
      <c r="H22" s="3" t="str">
        <f t="shared" ref="H22" si="2">IF(OR(AND(G22&gt;1,G22&lt;&gt;"-")),"Can exchange","")</f>
        <v/>
      </c>
    </row>
    <row r="23" spans="1:20" ht="15" customHeight="1" x14ac:dyDescent="0.35">
      <c r="A23" s="10">
        <v>2021</v>
      </c>
      <c r="B23" s="11" t="s">
        <v>108</v>
      </c>
      <c r="C23" s="24" t="s">
        <v>101</v>
      </c>
      <c r="D23" s="6" t="s">
        <v>8</v>
      </c>
      <c r="E23" s="12"/>
      <c r="F23" s="13" t="s">
        <v>120</v>
      </c>
      <c r="G23" s="1">
        <v>0</v>
      </c>
      <c r="H23" s="3" t="str">
        <f t="shared" ref="H23:H25" si="3">IF(OR(AND(G23&gt;1,G23&lt;&gt;"-")),"Can exchange","")</f>
        <v/>
      </c>
    </row>
    <row r="24" spans="1:20" ht="15" customHeight="1" x14ac:dyDescent="0.35">
      <c r="A24" s="10">
        <v>2022</v>
      </c>
      <c r="B24" s="11" t="s">
        <v>108</v>
      </c>
      <c r="C24" s="24" t="s">
        <v>101</v>
      </c>
      <c r="D24" s="6" t="s">
        <v>8</v>
      </c>
      <c r="E24" s="12"/>
      <c r="F24" s="13" t="s">
        <v>120</v>
      </c>
      <c r="G24" s="1">
        <v>0</v>
      </c>
      <c r="H24" s="3" t="str">
        <f t="shared" si="3"/>
        <v/>
      </c>
      <c r="T24" s="26"/>
    </row>
    <row r="25" spans="1:20" ht="15" customHeight="1" x14ac:dyDescent="0.35">
      <c r="A25" s="10">
        <v>2023</v>
      </c>
      <c r="B25" s="11" t="s">
        <v>108</v>
      </c>
      <c r="C25" s="24" t="s">
        <v>101</v>
      </c>
      <c r="D25" s="6" t="s">
        <v>8</v>
      </c>
      <c r="E25" s="12"/>
      <c r="F25" s="13" t="s">
        <v>120</v>
      </c>
      <c r="G25" s="1">
        <v>0</v>
      </c>
      <c r="H25" s="3" t="str">
        <f t="shared" si="3"/>
        <v/>
      </c>
    </row>
    <row r="26" spans="1:20" ht="15" customHeight="1" x14ac:dyDescent="0.35">
      <c r="A26" s="10">
        <v>2024</v>
      </c>
      <c r="B26" s="11" t="s">
        <v>108</v>
      </c>
      <c r="C26" s="24" t="s">
        <v>101</v>
      </c>
      <c r="D26" s="6" t="s">
        <v>8</v>
      </c>
      <c r="E26" s="12"/>
      <c r="F26" s="13" t="s">
        <v>64</v>
      </c>
      <c r="G26" s="1">
        <v>0</v>
      </c>
      <c r="H26" s="3" t="str">
        <f t="shared" ref="H26:H27" si="4">IF(OR(AND(G26&gt;1,G26&lt;&gt;"-")),"Can exchange","")</f>
        <v/>
      </c>
    </row>
    <row r="27" spans="1:20" ht="15" customHeight="1" x14ac:dyDescent="0.35">
      <c r="A27" s="10">
        <v>2025</v>
      </c>
      <c r="B27" s="11" t="s">
        <v>108</v>
      </c>
      <c r="C27" s="24" t="s">
        <v>101</v>
      </c>
      <c r="D27" s="6" t="s">
        <v>8</v>
      </c>
      <c r="E27" s="12"/>
      <c r="F27" s="25" t="s">
        <v>134</v>
      </c>
      <c r="G27" s="1" t="s">
        <v>110</v>
      </c>
      <c r="H27" s="3" t="str">
        <f t="shared" si="4"/>
        <v/>
      </c>
    </row>
  </sheetData>
  <autoFilter ref="B2:F2" xr:uid="{00000000-0001-0000-0600-000000000000}"/>
  <mergeCells count="2">
    <mergeCell ref="A1:A2"/>
    <mergeCell ref="C1:E1"/>
  </mergeCells>
  <phoneticPr fontId="8" type="noConversion"/>
  <conditionalFormatting sqref="G3 G5:G21 G23 G25">
    <cfRule type="containsText" dxfId="21" priority="13" operator="containsText" text="*-">
      <formula>NOT(ISERROR(SEARCH(("*-"),(G3))))</formula>
    </cfRule>
  </conditionalFormatting>
  <conditionalFormatting sqref="G5:G21 G3 G23 G25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2 G24">
    <cfRule type="containsText" dxfId="20" priority="9" operator="containsText" text="*-">
      <formula>NOT(ISERROR(SEARCH(("*-"),(G22))))</formula>
    </cfRule>
  </conditionalFormatting>
  <conditionalFormatting sqref="G24 G22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">
    <cfRule type="containsText" dxfId="19" priority="7" operator="containsText" text="*-">
      <formula>NOT(ISERROR(SEARCH(("*-"),(G4))))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6">
    <cfRule type="containsText" dxfId="4" priority="3" operator="containsText" text="*-">
      <formula>NOT(ISERROR(SEARCH(("*-"),(G26))))</formula>
    </cfRule>
  </conditionalFormatting>
  <conditionalFormatting sqref="G26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7">
    <cfRule type="containsText" dxfId="3" priority="1" operator="containsText" text="*-">
      <formula>NOT(ISERROR(SEARCH(("*-"),(G27))))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29"/>
  <sheetViews>
    <sheetView tabSelected="1"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G17" sqref="G17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4" width="33.6328125" style="4" customWidth="1"/>
    <col min="5" max="5" width="12.6328125" style="4" customWidth="1"/>
    <col min="6" max="6" width="3.6328125" style="4" customWidth="1"/>
    <col min="7" max="7" width="12.6328125" style="4" customWidth="1"/>
  </cols>
  <sheetData>
    <row r="1" spans="1:9" ht="15" customHeight="1" x14ac:dyDescent="0.35">
      <c r="A1" s="28" t="s">
        <v>0</v>
      </c>
      <c r="B1" s="27"/>
      <c r="C1" s="30" t="s">
        <v>1</v>
      </c>
      <c r="D1" s="31"/>
      <c r="E1" s="8" t="s">
        <v>2</v>
      </c>
      <c r="F1" s="22" t="s">
        <v>12</v>
      </c>
      <c r="G1" s="2"/>
    </row>
    <row r="2" spans="1:9" ht="15" customHeight="1" x14ac:dyDescent="0.35">
      <c r="A2" s="29"/>
      <c r="B2" s="27" t="s">
        <v>128</v>
      </c>
      <c r="C2" s="7" t="s">
        <v>129</v>
      </c>
      <c r="D2" s="7" t="s">
        <v>132</v>
      </c>
      <c r="E2" s="9" t="s">
        <v>27</v>
      </c>
      <c r="F2" s="7" t="s">
        <v>27</v>
      </c>
      <c r="G2" s="2"/>
    </row>
    <row r="3" spans="1:9" ht="15" customHeight="1" x14ac:dyDescent="0.35">
      <c r="A3" s="10">
        <v>2002</v>
      </c>
      <c r="B3" s="11" t="s">
        <v>109</v>
      </c>
      <c r="C3" s="24" t="s">
        <v>101</v>
      </c>
      <c r="D3" s="6" t="s">
        <v>7</v>
      </c>
      <c r="E3" s="13" t="s">
        <v>90</v>
      </c>
      <c r="F3" s="1">
        <v>2</v>
      </c>
      <c r="G3" s="3" t="str">
        <f t="shared" ref="G3:G20" si="0">IF(OR(AND(F3&gt;1,F3&lt;&gt;"-")),"Can exchange","")</f>
        <v>Can exchange</v>
      </c>
      <c r="I3" s="5"/>
    </row>
    <row r="4" spans="1:9" ht="15" customHeight="1" x14ac:dyDescent="0.35">
      <c r="A4" s="10">
        <v>2003</v>
      </c>
      <c r="B4" s="11" t="s">
        <v>109</v>
      </c>
      <c r="C4" s="24" t="s">
        <v>101</v>
      </c>
      <c r="D4" s="6" t="s">
        <v>7</v>
      </c>
      <c r="E4" s="13" t="s">
        <v>91</v>
      </c>
      <c r="F4" s="1">
        <v>0</v>
      </c>
      <c r="G4" s="3" t="str">
        <f t="shared" si="0"/>
        <v/>
      </c>
      <c r="H4" s="14"/>
      <c r="I4" s="5"/>
    </row>
    <row r="5" spans="1:9" ht="15" customHeight="1" x14ac:dyDescent="0.35">
      <c r="A5" s="10">
        <v>2004</v>
      </c>
      <c r="B5" s="11" t="s">
        <v>109</v>
      </c>
      <c r="C5" s="24" t="s">
        <v>101</v>
      </c>
      <c r="D5" s="6" t="s">
        <v>7</v>
      </c>
      <c r="E5" s="13" t="s">
        <v>92</v>
      </c>
      <c r="F5" s="1">
        <v>0</v>
      </c>
      <c r="G5" s="3" t="str">
        <f t="shared" si="0"/>
        <v/>
      </c>
    </row>
    <row r="6" spans="1:9" ht="15" customHeight="1" x14ac:dyDescent="0.35">
      <c r="A6" s="10">
        <v>2005</v>
      </c>
      <c r="B6" s="11" t="s">
        <v>109</v>
      </c>
      <c r="C6" s="24" t="s">
        <v>101</v>
      </c>
      <c r="D6" s="6" t="s">
        <v>7</v>
      </c>
      <c r="E6" s="13" t="s">
        <v>93</v>
      </c>
      <c r="F6" s="1">
        <v>0</v>
      </c>
      <c r="G6" s="3" t="str">
        <f t="shared" si="0"/>
        <v/>
      </c>
    </row>
    <row r="7" spans="1:9" ht="15" customHeight="1" x14ac:dyDescent="0.35">
      <c r="A7" s="10">
        <v>2006</v>
      </c>
      <c r="B7" s="11" t="s">
        <v>109</v>
      </c>
      <c r="C7" s="24" t="s">
        <v>101</v>
      </c>
      <c r="D7" s="6" t="s">
        <v>7</v>
      </c>
      <c r="E7" s="13" t="s">
        <v>56</v>
      </c>
      <c r="F7" s="1">
        <v>0</v>
      </c>
      <c r="G7" s="3" t="str">
        <f t="shared" si="0"/>
        <v/>
      </c>
    </row>
    <row r="8" spans="1:9" ht="15" customHeight="1" x14ac:dyDescent="0.35">
      <c r="A8" s="10">
        <v>2007</v>
      </c>
      <c r="B8" s="11" t="s">
        <v>109</v>
      </c>
      <c r="C8" s="24" t="s">
        <v>101</v>
      </c>
      <c r="D8" s="6" t="s">
        <v>7</v>
      </c>
      <c r="E8" s="13" t="s">
        <v>68</v>
      </c>
      <c r="F8" s="1">
        <v>0</v>
      </c>
      <c r="G8" s="3" t="str">
        <f t="shared" si="0"/>
        <v/>
      </c>
    </row>
    <row r="9" spans="1:9" ht="15" customHeight="1" x14ac:dyDescent="0.35">
      <c r="A9" s="10">
        <v>2008</v>
      </c>
      <c r="B9" s="11" t="s">
        <v>109</v>
      </c>
      <c r="C9" s="24" t="s">
        <v>101</v>
      </c>
      <c r="D9" s="6" t="s">
        <v>8</v>
      </c>
      <c r="E9" s="13" t="s">
        <v>81</v>
      </c>
      <c r="F9" s="1">
        <v>0</v>
      </c>
      <c r="G9" s="3" t="str">
        <f t="shared" si="0"/>
        <v/>
      </c>
    </row>
    <row r="10" spans="1:9" ht="15" customHeight="1" x14ac:dyDescent="0.35">
      <c r="A10" s="10">
        <v>2009</v>
      </c>
      <c r="B10" s="11" t="s">
        <v>109</v>
      </c>
      <c r="C10" s="24" t="s">
        <v>101</v>
      </c>
      <c r="D10" s="6" t="s">
        <v>8</v>
      </c>
      <c r="E10" s="13" t="s">
        <v>94</v>
      </c>
      <c r="F10" s="1">
        <v>0</v>
      </c>
      <c r="G10" s="3" t="str">
        <f t="shared" si="0"/>
        <v/>
      </c>
    </row>
    <row r="11" spans="1:9" ht="15" customHeight="1" x14ac:dyDescent="0.35">
      <c r="A11" s="10">
        <v>2010</v>
      </c>
      <c r="B11" s="11" t="s">
        <v>109</v>
      </c>
      <c r="C11" s="24" t="s">
        <v>101</v>
      </c>
      <c r="D11" s="6" t="s">
        <v>8</v>
      </c>
      <c r="E11" s="13" t="s">
        <v>95</v>
      </c>
      <c r="F11" s="1">
        <v>0</v>
      </c>
      <c r="G11" s="3" t="str">
        <f t="shared" si="0"/>
        <v/>
      </c>
    </row>
    <row r="12" spans="1:9" ht="15" customHeight="1" x14ac:dyDescent="0.35">
      <c r="A12" s="10">
        <v>2011</v>
      </c>
      <c r="B12" s="11" t="s">
        <v>109</v>
      </c>
      <c r="C12" s="24" t="s">
        <v>101</v>
      </c>
      <c r="D12" s="6" t="s">
        <v>8</v>
      </c>
      <c r="E12" s="13" t="s">
        <v>73</v>
      </c>
      <c r="F12" s="1">
        <v>0</v>
      </c>
      <c r="G12" s="3" t="str">
        <f t="shared" si="0"/>
        <v/>
      </c>
    </row>
    <row r="13" spans="1:9" ht="15" customHeight="1" x14ac:dyDescent="0.35">
      <c r="A13" s="10">
        <v>2012</v>
      </c>
      <c r="B13" s="11" t="s">
        <v>109</v>
      </c>
      <c r="C13" s="24" t="s">
        <v>101</v>
      </c>
      <c r="D13" s="6" t="s">
        <v>8</v>
      </c>
      <c r="E13" s="13" t="s">
        <v>96</v>
      </c>
      <c r="F13" s="1">
        <v>0</v>
      </c>
      <c r="G13" s="3" t="str">
        <f t="shared" si="0"/>
        <v/>
      </c>
    </row>
    <row r="14" spans="1:9" ht="15" customHeight="1" x14ac:dyDescent="0.35">
      <c r="A14" s="10">
        <v>2013</v>
      </c>
      <c r="B14" s="11" t="s">
        <v>109</v>
      </c>
      <c r="C14" s="24" t="s">
        <v>101</v>
      </c>
      <c r="D14" s="6" t="s">
        <v>8</v>
      </c>
      <c r="E14" s="13" t="s">
        <v>56</v>
      </c>
      <c r="F14" s="1">
        <v>0</v>
      </c>
      <c r="G14" s="3" t="str">
        <f t="shared" si="0"/>
        <v/>
      </c>
    </row>
    <row r="15" spans="1:9" ht="15" customHeight="1" x14ac:dyDescent="0.35">
      <c r="A15" s="10">
        <v>2014</v>
      </c>
      <c r="B15" s="11" t="s">
        <v>109</v>
      </c>
      <c r="C15" s="24" t="s">
        <v>101</v>
      </c>
      <c r="D15" s="6" t="s">
        <v>8</v>
      </c>
      <c r="E15" s="13" t="s">
        <v>83</v>
      </c>
      <c r="F15" s="1">
        <v>0</v>
      </c>
      <c r="G15" s="3" t="str">
        <f t="shared" si="0"/>
        <v/>
      </c>
    </row>
    <row r="16" spans="1:9" ht="15" customHeight="1" x14ac:dyDescent="0.35">
      <c r="A16" s="10">
        <v>2015</v>
      </c>
      <c r="B16" s="11" t="s">
        <v>109</v>
      </c>
      <c r="C16" s="24" t="s">
        <v>101</v>
      </c>
      <c r="D16" s="6" t="s">
        <v>8</v>
      </c>
      <c r="E16" s="13" t="s">
        <v>94</v>
      </c>
      <c r="F16" s="1">
        <v>0</v>
      </c>
      <c r="G16" s="3" t="str">
        <f t="shared" si="0"/>
        <v/>
      </c>
    </row>
    <row r="17" spans="1:18" ht="15" customHeight="1" x14ac:dyDescent="0.35">
      <c r="A17" s="10">
        <v>2016</v>
      </c>
      <c r="B17" s="11" t="s">
        <v>109</v>
      </c>
      <c r="C17" s="24" t="s">
        <v>101</v>
      </c>
      <c r="D17" s="6" t="s">
        <v>8</v>
      </c>
      <c r="E17" s="13" t="s">
        <v>94</v>
      </c>
      <c r="F17" s="1">
        <v>0</v>
      </c>
      <c r="G17" s="3" t="str">
        <f t="shared" si="0"/>
        <v/>
      </c>
    </row>
    <row r="18" spans="1:18" ht="15" customHeight="1" x14ac:dyDescent="0.35">
      <c r="A18" s="10">
        <v>2017</v>
      </c>
      <c r="B18" s="11" t="s">
        <v>109</v>
      </c>
      <c r="C18" s="24" t="s">
        <v>101</v>
      </c>
      <c r="D18" s="6" t="s">
        <v>8</v>
      </c>
      <c r="E18" s="13" t="s">
        <v>94</v>
      </c>
      <c r="F18" s="1">
        <v>0</v>
      </c>
      <c r="G18" s="3" t="str">
        <f t="shared" si="0"/>
        <v/>
      </c>
    </row>
    <row r="19" spans="1:18" ht="15" customHeight="1" x14ac:dyDescent="0.35">
      <c r="A19" s="10">
        <v>2018</v>
      </c>
      <c r="B19" s="11" t="s">
        <v>109</v>
      </c>
      <c r="C19" s="24" t="s">
        <v>101</v>
      </c>
      <c r="D19" s="6" t="s">
        <v>8</v>
      </c>
      <c r="E19" s="13" t="s">
        <v>121</v>
      </c>
      <c r="F19" s="1">
        <v>0</v>
      </c>
      <c r="G19" s="3" t="str">
        <f t="shared" si="0"/>
        <v/>
      </c>
    </row>
    <row r="20" spans="1:18" ht="15" customHeight="1" x14ac:dyDescent="0.35">
      <c r="A20" s="10">
        <v>2019</v>
      </c>
      <c r="B20" s="11" t="s">
        <v>109</v>
      </c>
      <c r="C20" s="24" t="s">
        <v>101</v>
      </c>
      <c r="D20" s="6" t="s">
        <v>8</v>
      </c>
      <c r="E20" s="13" t="s">
        <v>122</v>
      </c>
      <c r="F20" s="1">
        <v>0</v>
      </c>
      <c r="G20" s="3" t="str">
        <f t="shared" si="0"/>
        <v/>
      </c>
    </row>
    <row r="21" spans="1:18" ht="15" customHeight="1" x14ac:dyDescent="0.35">
      <c r="A21" s="10">
        <v>2020</v>
      </c>
      <c r="B21" s="11" t="s">
        <v>109</v>
      </c>
      <c r="C21" s="24" t="s">
        <v>101</v>
      </c>
      <c r="D21" s="6" t="s">
        <v>8</v>
      </c>
      <c r="E21" s="13" t="s">
        <v>73</v>
      </c>
      <c r="F21" s="1">
        <v>0</v>
      </c>
      <c r="G21" s="3" t="str">
        <f t="shared" ref="G21" si="1">IF(OR(AND(F21&gt;1,F21&lt;&gt;"-")),"Can exchange","")</f>
        <v/>
      </c>
    </row>
    <row r="22" spans="1:18" ht="15" customHeight="1" x14ac:dyDescent="0.35">
      <c r="A22" s="10">
        <v>2021</v>
      </c>
      <c r="B22" s="11" t="s">
        <v>109</v>
      </c>
      <c r="C22" s="24" t="s">
        <v>101</v>
      </c>
      <c r="D22" s="6" t="s">
        <v>8</v>
      </c>
      <c r="E22" s="13" t="s">
        <v>125</v>
      </c>
      <c r="F22" s="1">
        <v>0</v>
      </c>
      <c r="G22" s="3" t="str">
        <f t="shared" ref="G22:G24" si="2">IF(OR(AND(F22&gt;1,F22&lt;&gt;"-")),"Can exchange","")</f>
        <v/>
      </c>
    </row>
    <row r="23" spans="1:18" ht="15" customHeight="1" x14ac:dyDescent="0.35">
      <c r="A23" s="10">
        <v>2022</v>
      </c>
      <c r="B23" s="11" t="s">
        <v>109</v>
      </c>
      <c r="C23" s="24" t="s">
        <v>101</v>
      </c>
      <c r="D23" s="6" t="s">
        <v>8</v>
      </c>
      <c r="E23" s="13" t="s">
        <v>125</v>
      </c>
      <c r="F23" s="1">
        <v>0</v>
      </c>
      <c r="G23" s="3" t="str">
        <f t="shared" si="2"/>
        <v/>
      </c>
    </row>
    <row r="24" spans="1:18" ht="15" customHeight="1" x14ac:dyDescent="0.35">
      <c r="A24" s="10">
        <v>2023</v>
      </c>
      <c r="B24" s="11" t="s">
        <v>109</v>
      </c>
      <c r="C24" s="24" t="s">
        <v>101</v>
      </c>
      <c r="D24" s="6" t="s">
        <v>8</v>
      </c>
      <c r="E24" s="13" t="s">
        <v>127</v>
      </c>
      <c r="F24" s="1">
        <v>0</v>
      </c>
      <c r="G24" s="3" t="str">
        <f t="shared" si="2"/>
        <v/>
      </c>
    </row>
    <row r="25" spans="1:18" ht="15" customHeight="1" x14ac:dyDescent="0.35">
      <c r="A25" s="10">
        <v>2024</v>
      </c>
      <c r="B25" s="11" t="s">
        <v>109</v>
      </c>
      <c r="C25" s="24" t="s">
        <v>101</v>
      </c>
      <c r="D25" s="6" t="s">
        <v>8</v>
      </c>
      <c r="E25" s="13" t="s">
        <v>76</v>
      </c>
      <c r="F25" s="1">
        <v>0</v>
      </c>
      <c r="G25" s="3" t="str">
        <f t="shared" ref="G25:G26" si="3">IF(OR(AND(F25&gt;1,F25&lt;&gt;"-")),"Can exchange","")</f>
        <v/>
      </c>
    </row>
    <row r="26" spans="1:18" ht="15" customHeight="1" x14ac:dyDescent="0.35">
      <c r="A26" s="10">
        <v>2025</v>
      </c>
      <c r="B26" s="11" t="s">
        <v>109</v>
      </c>
      <c r="C26" s="24" t="s">
        <v>101</v>
      </c>
      <c r="D26" s="6" t="s">
        <v>8</v>
      </c>
      <c r="E26" s="25" t="s">
        <v>134</v>
      </c>
      <c r="F26" s="1" t="s">
        <v>110</v>
      </c>
      <c r="G26" s="3" t="str">
        <f t="shared" si="3"/>
        <v/>
      </c>
    </row>
    <row r="29" spans="1:18" ht="15" customHeight="1" x14ac:dyDescent="0.35">
      <c r="Q29" s="26"/>
      <c r="R29" s="26"/>
    </row>
  </sheetData>
  <autoFilter ref="B2:E2" xr:uid="{00000000-0001-0000-0700-000000000000}"/>
  <mergeCells count="2">
    <mergeCell ref="A1:A2"/>
    <mergeCell ref="C1:D1"/>
  </mergeCells>
  <phoneticPr fontId="8" type="noConversion"/>
  <conditionalFormatting sqref="F3:F20 F22 F24">
    <cfRule type="containsText" dxfId="18" priority="9" operator="containsText" text="*-">
      <formula>NOT(ISERROR(SEARCH(("*-"),(F3))))</formula>
    </cfRule>
  </conditionalFormatting>
  <conditionalFormatting sqref="F3:F20 F22 F24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1 F23">
    <cfRule type="containsText" dxfId="17" priority="7" operator="containsText" text="*-">
      <formula>NOT(ISERROR(SEARCH(("*-"),(F21))))</formula>
    </cfRule>
  </conditionalFormatting>
  <conditionalFormatting sqref="F23 F21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5">
    <cfRule type="containsText" dxfId="1" priority="3" operator="containsText" text="*-">
      <formula>NOT(ISERROR(SEARCH(("*-"),(F25))))</formula>
    </cfRule>
  </conditionalFormatting>
  <conditionalFormatting sqref="F25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6">
    <cfRule type="containsText" dxfId="0" priority="1" operator="containsText" text="*-">
      <formula>NOT(ISERROR(SEARCH(("*-"),(F26))))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2" sqref="B2"/>
    </sheetView>
  </sheetViews>
  <sheetFormatPr defaultRowHeight="15" customHeight="1" x14ac:dyDescent="0.35"/>
  <cols>
    <col min="1" max="1" width="4.81640625" customWidth="1"/>
    <col min="2" max="2" width="16.26953125" customWidth="1"/>
    <col min="3" max="3" width="61.81640625" customWidth="1"/>
  </cols>
  <sheetData>
    <row r="1" spans="1:3" ht="15" customHeight="1" x14ac:dyDescent="0.35">
      <c r="A1" s="15" t="s">
        <v>13</v>
      </c>
      <c r="B1" s="16" t="s">
        <v>14</v>
      </c>
      <c r="C1" s="17" t="s">
        <v>15</v>
      </c>
    </row>
    <row r="2" spans="1:3" ht="15" customHeight="1" x14ac:dyDescent="0.35">
      <c r="A2" s="18">
        <v>1</v>
      </c>
      <c r="B2" s="19" t="s">
        <v>16</v>
      </c>
      <c r="C2" s="20" t="s">
        <v>17</v>
      </c>
    </row>
    <row r="3" spans="1:3" ht="15" customHeight="1" x14ac:dyDescent="0.35">
      <c r="A3" s="18">
        <v>2</v>
      </c>
      <c r="B3" s="19" t="s">
        <v>19</v>
      </c>
      <c r="C3" s="20" t="s">
        <v>18</v>
      </c>
    </row>
    <row r="4" spans="1:3" ht="15" customHeight="1" x14ac:dyDescent="0.35">
      <c r="A4" s="18">
        <v>3</v>
      </c>
      <c r="B4" s="19" t="s">
        <v>20</v>
      </c>
      <c r="C4" s="20" t="s">
        <v>21</v>
      </c>
    </row>
    <row r="5" spans="1:3" ht="15" customHeight="1" x14ac:dyDescent="0.35">
      <c r="A5" s="18">
        <v>4</v>
      </c>
      <c r="B5" s="19" t="s">
        <v>22</v>
      </c>
      <c r="C5" s="20" t="s">
        <v>23</v>
      </c>
    </row>
    <row r="6" spans="1:3" ht="15" customHeight="1" x14ac:dyDescent="0.35">
      <c r="A6" s="18">
        <v>5</v>
      </c>
      <c r="B6" s="19" t="s">
        <v>24</v>
      </c>
      <c r="C6" s="21" t="s">
        <v>25</v>
      </c>
    </row>
    <row r="7" spans="1:3" ht="15" customHeight="1" x14ac:dyDescent="0.35">
      <c r="A7" s="18">
        <v>6</v>
      </c>
      <c r="B7" s="19" t="s">
        <v>24</v>
      </c>
      <c r="C7" s="21" t="s">
        <v>26</v>
      </c>
    </row>
  </sheetData>
  <hyperlinks>
    <hyperlink ref="B2" r:id="rId1" xr:uid="{00000000-0004-0000-0800-000000000000}"/>
    <hyperlink ref="B3" r:id="rId2" xr:uid="{00000000-0004-0000-0800-000001000000}"/>
    <hyperlink ref="B4" r:id="rId3" xr:uid="{00000000-0004-0000-0800-000002000000}"/>
    <hyperlink ref="B5" r:id="rId4" xr:uid="{00000000-0004-0000-0800-000003000000}"/>
    <hyperlink ref="B7" r:id="rId5" xr:uid="{00000000-0004-0000-0800-000004000000}"/>
    <hyperlink ref="B6" r:id="rId6" xr:uid="{00000000-0004-0000-0800-000005000000}"/>
  </hyperlinks>
  <pageMargins left="0.7" right="0.7" top="0.75" bottom="0.75" header="0.3" footer="0.3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1cent</vt:lpstr>
      <vt:lpstr>2cents</vt:lpstr>
      <vt:lpstr>5cents</vt:lpstr>
      <vt:lpstr>10cents</vt:lpstr>
      <vt:lpstr>20cents</vt:lpstr>
      <vt:lpstr>50cents</vt:lpstr>
      <vt:lpstr>1€</vt:lpstr>
      <vt:lpstr>2€</vt:lpstr>
      <vt:lpstr>Links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 Windows</dc:creator>
  <cp:lastModifiedBy>Алексей Илюшин</cp:lastModifiedBy>
  <dcterms:created xsi:type="dcterms:W3CDTF">2019-12-22T17:08:36Z</dcterms:created>
  <dcterms:modified xsi:type="dcterms:W3CDTF">2026-02-12T12:25:40Z</dcterms:modified>
</cp:coreProperties>
</file>